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高校题库制作系统-副本\StartFile\ExtractFile\"/>
    </mc:Choice>
  </mc:AlternateContent>
  <bookViews>
    <workbookView xWindow="-105" yWindow="-105" windowWidth="19425" windowHeight="10425" activeTab="2"/>
  </bookViews>
  <sheets>
    <sheet name="人员情况统计表" sheetId="1" r:id="rId1"/>
    <sheet name="基础工资对照表" sheetId="3" r:id="rId2"/>
    <sheet name="图书销售统计表" sheetId="2" r:id="rId3"/>
  </sheets>
  <definedNames>
    <definedName name="_xlnm._FilterDatabase" localSheetId="0" hidden="1">人员情况统计表!$A$2:$L$51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04" i="2" l="1"/>
  <c r="E103" i="2"/>
  <c r="E86" i="2"/>
  <c r="E69" i="2"/>
  <c r="E52" i="2"/>
  <c r="E35" i="2"/>
  <c r="E18" i="2"/>
  <c r="K15" i="1"/>
  <c r="K16" i="1"/>
  <c r="K17" i="1"/>
  <c r="J15" i="1"/>
  <c r="J16" i="1"/>
  <c r="J17" i="1"/>
  <c r="K14" i="1"/>
  <c r="J14" i="1"/>
  <c r="K8" i="1"/>
  <c r="K9" i="1"/>
  <c r="K7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3" i="1"/>
  <c r="G90" i="2" l="1"/>
  <c r="F90" i="2"/>
  <c r="G89" i="2"/>
  <c r="F89" i="2"/>
  <c r="G88" i="2"/>
  <c r="F88" i="2"/>
  <c r="G94" i="2"/>
  <c r="F94" i="2"/>
  <c r="G81" i="2"/>
  <c r="F81" i="2"/>
  <c r="G77" i="2"/>
  <c r="F77" i="2"/>
  <c r="G80" i="2"/>
  <c r="F80" i="2"/>
  <c r="G76" i="2"/>
  <c r="F76" i="2"/>
  <c r="G85" i="2"/>
  <c r="F85" i="2"/>
  <c r="G79" i="2"/>
  <c r="F79" i="2"/>
  <c r="G78" i="2"/>
  <c r="F78" i="2"/>
  <c r="G93" i="2"/>
  <c r="F93" i="2"/>
  <c r="G102" i="2"/>
  <c r="F102" i="2"/>
  <c r="G101" i="2"/>
  <c r="F101" i="2"/>
  <c r="G87" i="2"/>
  <c r="F87" i="2"/>
  <c r="G100" i="2"/>
  <c r="F100" i="2"/>
  <c r="G98" i="2"/>
  <c r="F98" i="2"/>
  <c r="G97" i="2"/>
  <c r="F97" i="2"/>
  <c r="G96" i="2"/>
  <c r="F96" i="2"/>
  <c r="G95" i="2"/>
  <c r="F95" i="2"/>
  <c r="G92" i="2"/>
  <c r="F92" i="2"/>
  <c r="G91" i="2"/>
  <c r="F91" i="2"/>
  <c r="G99" i="2"/>
  <c r="F99" i="2"/>
  <c r="G73" i="2"/>
  <c r="F73" i="2"/>
  <c r="G75" i="2"/>
  <c r="F75" i="2"/>
  <c r="G72" i="2"/>
  <c r="F72" i="2"/>
  <c r="G84" i="2"/>
  <c r="F84" i="2"/>
  <c r="G74" i="2"/>
  <c r="F74" i="2"/>
  <c r="G83" i="2"/>
  <c r="F83" i="2"/>
  <c r="G71" i="2"/>
  <c r="F71" i="2"/>
  <c r="G70" i="2"/>
  <c r="F70" i="2"/>
  <c r="G82" i="2"/>
  <c r="F82" i="2"/>
  <c r="G43" i="2"/>
  <c r="F43" i="2"/>
  <c r="G30" i="2"/>
  <c r="F30" i="2"/>
  <c r="G60" i="2"/>
  <c r="F60" i="2"/>
  <c r="G47" i="2"/>
  <c r="F47" i="2"/>
  <c r="G59" i="2"/>
  <c r="F59" i="2"/>
  <c r="G68" i="2"/>
  <c r="F68" i="2"/>
  <c r="G26" i="2"/>
  <c r="F26" i="2"/>
  <c r="G67" i="2"/>
  <c r="F67" i="2"/>
  <c r="G13" i="2"/>
  <c r="F13" i="2"/>
  <c r="G64" i="2"/>
  <c r="F64" i="2"/>
  <c r="G63" i="2"/>
  <c r="F63" i="2"/>
  <c r="G12" i="2"/>
  <c r="F12" i="2"/>
  <c r="G46" i="2"/>
  <c r="F46" i="2"/>
  <c r="G58" i="2"/>
  <c r="F58" i="2"/>
  <c r="G45" i="2"/>
  <c r="F45" i="2"/>
  <c r="G66" i="2"/>
  <c r="F66" i="2"/>
  <c r="G44" i="2"/>
  <c r="F44" i="2"/>
  <c r="G57" i="2"/>
  <c r="F57" i="2"/>
  <c r="G29" i="2"/>
  <c r="F29" i="2"/>
  <c r="G65" i="2"/>
  <c r="F65" i="2"/>
  <c r="G28" i="2"/>
  <c r="F28" i="2"/>
  <c r="G27" i="2"/>
  <c r="F27" i="2"/>
  <c r="G62" i="2"/>
  <c r="F62" i="2"/>
  <c r="G11" i="2"/>
  <c r="F11" i="2"/>
  <c r="G61" i="2"/>
  <c r="F61" i="2"/>
  <c r="G10" i="2"/>
  <c r="F10" i="2"/>
  <c r="G56" i="2"/>
  <c r="F56" i="2"/>
  <c r="G55" i="2"/>
  <c r="F55" i="2"/>
  <c r="G54" i="2"/>
  <c r="F54" i="2"/>
  <c r="G42" i="2"/>
  <c r="F42" i="2"/>
  <c r="G53" i="2"/>
  <c r="F53" i="2"/>
  <c r="G9" i="2"/>
  <c r="F9" i="2"/>
  <c r="G8" i="2"/>
  <c r="F8" i="2"/>
  <c r="G17" i="2"/>
  <c r="F17" i="2"/>
  <c r="G25" i="2"/>
  <c r="F25" i="2"/>
  <c r="G5" i="2"/>
  <c r="F5" i="2"/>
  <c r="G7" i="2"/>
  <c r="F7" i="2"/>
  <c r="G4" i="2"/>
  <c r="F4" i="2"/>
  <c r="G39" i="2"/>
  <c r="F39" i="2"/>
  <c r="G24" i="2"/>
  <c r="F24" i="2"/>
  <c r="G38" i="2"/>
  <c r="F38" i="2"/>
  <c r="G41" i="2"/>
  <c r="F41" i="2"/>
  <c r="G51" i="2"/>
  <c r="F51" i="2"/>
  <c r="G34" i="2"/>
  <c r="F34" i="2"/>
  <c r="G16" i="2"/>
  <c r="F16" i="2"/>
  <c r="G6" i="2"/>
  <c r="F6" i="2"/>
  <c r="G15" i="2"/>
  <c r="F15" i="2"/>
  <c r="G3" i="2"/>
  <c r="F3" i="2"/>
  <c r="G40" i="2"/>
  <c r="F40" i="2"/>
  <c r="G23" i="2"/>
  <c r="F23" i="2"/>
  <c r="G50" i="2"/>
  <c r="F50" i="2"/>
  <c r="G33" i="2"/>
  <c r="F33" i="2"/>
  <c r="G22" i="2"/>
  <c r="F22" i="2"/>
  <c r="G21" i="2"/>
  <c r="F21" i="2"/>
  <c r="G32" i="2"/>
  <c r="F32" i="2"/>
  <c r="G20" i="2"/>
  <c r="F20" i="2"/>
  <c r="G49" i="2"/>
  <c r="F49" i="2"/>
  <c r="G2" i="2"/>
  <c r="F2" i="2"/>
  <c r="G37" i="2"/>
  <c r="F37" i="2"/>
  <c r="G31" i="2"/>
  <c r="F31" i="2"/>
  <c r="G19" i="2"/>
  <c r="F19" i="2"/>
  <c r="G14" i="2"/>
  <c r="F14" i="2"/>
  <c r="G48" i="2"/>
  <c r="F48" i="2"/>
  <c r="G36" i="2"/>
  <c r="F36" i="2"/>
</calcChain>
</file>

<file path=xl/sharedStrings.xml><?xml version="1.0" encoding="utf-8"?>
<sst xmlns="http://schemas.openxmlformats.org/spreadsheetml/2006/main" count="434" uniqueCount="132">
  <si>
    <t>交通科学</t>
  </si>
  <si>
    <t>第1分部</t>
  </si>
  <si>
    <t>经销部门</t>
    <phoneticPr fontId="1" type="noConversion"/>
  </si>
  <si>
    <t>图书类别</t>
    <phoneticPr fontId="1" type="noConversion"/>
  </si>
  <si>
    <t>季度</t>
    <phoneticPr fontId="1" type="noConversion"/>
  </si>
  <si>
    <t>销售数量(册)</t>
    <phoneticPr fontId="1" type="noConversion"/>
  </si>
  <si>
    <t>销售额(元)</t>
    <phoneticPr fontId="1" type="noConversion"/>
  </si>
  <si>
    <t>销售数量排名</t>
    <phoneticPr fontId="1" type="noConversion"/>
  </si>
  <si>
    <t>销售额排名</t>
    <phoneticPr fontId="1" type="noConversion"/>
  </si>
  <si>
    <r>
      <t>第</t>
    </r>
    <r>
      <rPr>
        <sz val="12"/>
        <rFont val="Times New Roman"/>
        <family val="1"/>
      </rPr>
      <t>3</t>
    </r>
    <r>
      <rPr>
        <sz val="12"/>
        <rFont val="宋体"/>
        <family val="3"/>
        <charset val="134"/>
      </rPr>
      <t>分部</t>
    </r>
    <phoneticPr fontId="1" type="noConversion"/>
  </si>
  <si>
    <t>生物科学</t>
    <phoneticPr fontId="1" type="noConversion"/>
  </si>
  <si>
    <t>工业技术</t>
    <phoneticPr fontId="1" type="noConversion"/>
  </si>
  <si>
    <r>
      <t>第</t>
    </r>
    <r>
      <rPr>
        <sz val="12"/>
        <rFont val="Times New Roman"/>
        <family val="1"/>
      </rPr>
      <t>1</t>
    </r>
    <r>
      <rPr>
        <sz val="12"/>
        <rFont val="宋体"/>
        <family val="3"/>
        <charset val="134"/>
      </rPr>
      <t>分部</t>
    </r>
    <phoneticPr fontId="1" type="noConversion"/>
  </si>
  <si>
    <t>第5分部</t>
  </si>
  <si>
    <t>第6分部</t>
  </si>
  <si>
    <t>工业技术</t>
    <phoneticPr fontId="1" type="noConversion"/>
  </si>
  <si>
    <r>
      <t>第</t>
    </r>
    <r>
      <rPr>
        <sz val="12"/>
        <rFont val="Times New Roman"/>
        <family val="1"/>
      </rPr>
      <t>2</t>
    </r>
    <r>
      <rPr>
        <sz val="12"/>
        <rFont val="宋体"/>
        <family val="3"/>
        <charset val="134"/>
      </rPr>
      <t>分部</t>
    </r>
    <phoneticPr fontId="1" type="noConversion"/>
  </si>
  <si>
    <t>生物科学</t>
    <phoneticPr fontId="1" type="noConversion"/>
  </si>
  <si>
    <r>
      <t>第</t>
    </r>
    <r>
      <rPr>
        <sz val="12"/>
        <rFont val="Times New Roman"/>
        <family val="1"/>
      </rPr>
      <t>3</t>
    </r>
    <r>
      <rPr>
        <sz val="12"/>
        <rFont val="宋体"/>
        <family val="3"/>
        <charset val="134"/>
      </rPr>
      <t>分部</t>
    </r>
    <phoneticPr fontId="1" type="noConversion"/>
  </si>
  <si>
    <r>
      <t>第</t>
    </r>
    <r>
      <rPr>
        <sz val="12"/>
        <rFont val="Times New Roman"/>
        <family val="1"/>
      </rPr>
      <t>1</t>
    </r>
    <r>
      <rPr>
        <sz val="12"/>
        <rFont val="宋体"/>
        <family val="3"/>
        <charset val="134"/>
      </rPr>
      <t>分部</t>
    </r>
    <phoneticPr fontId="1" type="noConversion"/>
  </si>
  <si>
    <t>农业科学</t>
    <phoneticPr fontId="1" type="noConversion"/>
  </si>
  <si>
    <r>
      <t>第</t>
    </r>
    <r>
      <rPr>
        <sz val="12"/>
        <rFont val="宋体"/>
        <family val="3"/>
        <charset val="134"/>
      </rPr>
      <t>4</t>
    </r>
    <r>
      <rPr>
        <sz val="12"/>
        <rFont val="宋体"/>
        <family val="3"/>
        <charset val="134"/>
      </rPr>
      <t>分部</t>
    </r>
    <phoneticPr fontId="1" type="noConversion"/>
  </si>
  <si>
    <t>第1分部</t>
    <phoneticPr fontId="1" type="noConversion"/>
  </si>
  <si>
    <t>交通科学</t>
    <phoneticPr fontId="1" type="noConversion"/>
  </si>
  <si>
    <t>第4分部</t>
    <phoneticPr fontId="1" type="noConversion"/>
  </si>
  <si>
    <t>第2分部</t>
    <phoneticPr fontId="1" type="noConversion"/>
  </si>
  <si>
    <t>第3分部</t>
    <phoneticPr fontId="1" type="noConversion"/>
  </si>
  <si>
    <t>第5分部</t>
    <phoneticPr fontId="1" type="noConversion"/>
  </si>
  <si>
    <t>第6分部</t>
    <phoneticPr fontId="1" type="noConversion"/>
  </si>
  <si>
    <t>职工号</t>
    <phoneticPr fontId="1" type="noConversion"/>
  </si>
  <si>
    <t>职称</t>
    <phoneticPr fontId="1" type="noConversion"/>
  </si>
  <si>
    <t>工资合计</t>
    <phoneticPr fontId="1" type="noConversion"/>
  </si>
  <si>
    <t>HR001</t>
    <phoneticPr fontId="1" type="noConversion"/>
  </si>
  <si>
    <t>高工</t>
    <phoneticPr fontId="1" type="noConversion"/>
  </si>
  <si>
    <t>硕士</t>
    <phoneticPr fontId="1" type="noConversion"/>
  </si>
  <si>
    <t>HR002</t>
  </si>
  <si>
    <t>HR003</t>
  </si>
  <si>
    <t>工程师</t>
    <phoneticPr fontId="1" type="noConversion"/>
  </si>
  <si>
    <t>博士</t>
    <phoneticPr fontId="1" type="noConversion"/>
  </si>
  <si>
    <t>HR004</t>
  </si>
  <si>
    <t>HR005</t>
  </si>
  <si>
    <t>HR006</t>
  </si>
  <si>
    <t>助工</t>
    <phoneticPr fontId="1" type="noConversion"/>
  </si>
  <si>
    <t>人数</t>
    <phoneticPr fontId="1" type="noConversion"/>
  </si>
  <si>
    <t>HR007</t>
  </si>
  <si>
    <t>HR008</t>
  </si>
  <si>
    <t>HR009</t>
  </si>
  <si>
    <t>HR010</t>
  </si>
  <si>
    <t>HR011</t>
  </si>
  <si>
    <t>HR012</t>
  </si>
  <si>
    <t>HR013</t>
  </si>
  <si>
    <t>HR014</t>
  </si>
  <si>
    <t>HR015</t>
  </si>
  <si>
    <t>HR016</t>
  </si>
  <si>
    <t>HR017</t>
  </si>
  <si>
    <t>HR018</t>
  </si>
  <si>
    <t>HR019</t>
  </si>
  <si>
    <t>HR020</t>
  </si>
  <si>
    <t>HR021</t>
  </si>
  <si>
    <t>HR022</t>
  </si>
  <si>
    <t>某企业人员情况统计表</t>
    <phoneticPr fontId="1" type="noConversion"/>
  </si>
  <si>
    <t>部门</t>
    <phoneticPr fontId="1" type="noConversion"/>
  </si>
  <si>
    <t>销售部</t>
    <phoneticPr fontId="1" type="noConversion"/>
  </si>
  <si>
    <t>开发部</t>
    <phoneticPr fontId="1" type="noConversion"/>
  </si>
  <si>
    <t>技术部</t>
    <phoneticPr fontId="1" type="noConversion"/>
  </si>
  <si>
    <t>HR023</t>
  </si>
  <si>
    <t>HR024</t>
  </si>
  <si>
    <t>HR025</t>
  </si>
  <si>
    <t>HR026</t>
  </si>
  <si>
    <t>HR027</t>
  </si>
  <si>
    <t>HR028</t>
  </si>
  <si>
    <t>HR029</t>
  </si>
  <si>
    <t>HR030</t>
  </si>
  <si>
    <t>HR031</t>
  </si>
  <si>
    <t>HR032</t>
  </si>
  <si>
    <t>HR033</t>
  </si>
  <si>
    <t>HR034</t>
  </si>
  <si>
    <t>HR035</t>
  </si>
  <si>
    <t>HR036</t>
  </si>
  <si>
    <t>HR037</t>
  </si>
  <si>
    <t>HR038</t>
  </si>
  <si>
    <t>HR039</t>
  </si>
  <si>
    <t>HR040</t>
  </si>
  <si>
    <t>HR041</t>
  </si>
  <si>
    <t>HR042</t>
  </si>
  <si>
    <t>HR043</t>
  </si>
  <si>
    <t>HR044</t>
  </si>
  <si>
    <t>HR045</t>
  </si>
  <si>
    <t>HR046</t>
  </si>
  <si>
    <t>HR047</t>
  </si>
  <si>
    <t>HR048</t>
  </si>
  <si>
    <t>HR049</t>
  </si>
  <si>
    <t>工程师</t>
    <phoneticPr fontId="1" type="noConversion"/>
  </si>
  <si>
    <t>助工</t>
    <phoneticPr fontId="1" type="noConversion"/>
  </si>
  <si>
    <t>高工</t>
    <phoneticPr fontId="1" type="noConversion"/>
  </si>
  <si>
    <t>硕士</t>
    <phoneticPr fontId="1" type="noConversion"/>
  </si>
  <si>
    <t>工程部</t>
    <phoneticPr fontId="1" type="noConversion"/>
  </si>
  <si>
    <t>基础工资对照表</t>
    <phoneticPr fontId="1" type="noConversion"/>
  </si>
  <si>
    <t>基础工资</t>
    <phoneticPr fontId="1" type="noConversion"/>
  </si>
  <si>
    <t>基础工资（元）</t>
    <phoneticPr fontId="1" type="noConversion"/>
  </si>
  <si>
    <t>岗位工资（元）</t>
    <phoneticPr fontId="1" type="noConversion"/>
  </si>
  <si>
    <t>工资合计（元）</t>
    <phoneticPr fontId="1" type="noConversion"/>
  </si>
  <si>
    <t>部门</t>
    <phoneticPr fontId="1" type="noConversion"/>
  </si>
  <si>
    <t>销售部</t>
    <phoneticPr fontId="1" type="noConversion"/>
  </si>
  <si>
    <t>开发部</t>
    <phoneticPr fontId="1" type="noConversion"/>
  </si>
  <si>
    <t>技术部</t>
    <phoneticPr fontId="1" type="noConversion"/>
  </si>
  <si>
    <t>工程部</t>
    <phoneticPr fontId="1" type="noConversion"/>
  </si>
  <si>
    <t>统计表2</t>
    <phoneticPr fontId="1" type="noConversion"/>
  </si>
  <si>
    <t>统计表1</t>
    <phoneticPr fontId="1" type="noConversion"/>
  </si>
  <si>
    <t>平均岗位工资（元）</t>
    <phoneticPr fontId="1" type="noConversion"/>
  </si>
  <si>
    <t>工程师</t>
    <phoneticPr fontId="1" type="noConversion"/>
  </si>
  <si>
    <t>助工</t>
    <phoneticPr fontId="1" type="noConversion"/>
  </si>
  <si>
    <t>高工</t>
    <phoneticPr fontId="1" type="noConversion"/>
  </si>
  <si>
    <t>硕士</t>
    <phoneticPr fontId="1" type="noConversion"/>
  </si>
  <si>
    <t>博士</t>
    <phoneticPr fontId="1" type="noConversion"/>
  </si>
  <si>
    <t>硕士</t>
    <phoneticPr fontId="1" type="noConversion"/>
  </si>
  <si>
    <t>销售部</t>
    <phoneticPr fontId="1" type="noConversion"/>
  </si>
  <si>
    <t>技术部</t>
    <phoneticPr fontId="1" type="noConversion"/>
  </si>
  <si>
    <t>开发部</t>
    <phoneticPr fontId="1" type="noConversion"/>
  </si>
  <si>
    <t>平均工资（元）</t>
    <phoneticPr fontId="1" type="noConversion"/>
  </si>
  <si>
    <t>学士</t>
    <phoneticPr fontId="1" type="noConversion"/>
  </si>
  <si>
    <t>学位</t>
    <phoneticPr fontId="1" type="noConversion"/>
  </si>
  <si>
    <t>&gt;=8000</t>
    <phoneticPr fontId="1" type="noConversion"/>
  </si>
  <si>
    <t>&gt;=10000</t>
    <phoneticPr fontId="1" type="noConversion"/>
  </si>
  <si>
    <t>&gt;=15000</t>
    <phoneticPr fontId="1" type="noConversion"/>
  </si>
  <si>
    <t>第1分部 汇总</t>
  </si>
  <si>
    <t>第2分部 汇总</t>
  </si>
  <si>
    <t>第3分部 汇总</t>
  </si>
  <si>
    <t>第4分部 汇总</t>
  </si>
  <si>
    <t>第5分部 汇总</t>
  </si>
  <si>
    <t>第6分部 汇总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</si>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</sst>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_);[Red]\(0\)"/>
    <numFmt numFmtId="177" formatCode="0_ "/>
  </numFmts>
  <fonts count="6" x14ac:knownFonts="1">
    <font>
      <sz val="12"/>
      <name val="宋体"/>
      <charset val="134"/>
    </font>
    <font>
      <sz val="9"/>
      <name val="宋体"/>
      <family val="3"/>
      <charset val="134"/>
    </font>
    <font>
      <sz val="12"/>
      <name val="Times New Roman"/>
      <family val="1"/>
    </font>
    <font>
      <sz val="12"/>
      <name val="宋体"/>
      <family val="3"/>
      <charset val="134"/>
    </font>
    <font>
      <b/>
      <sz val="12"/>
      <name val="宋体"/>
      <family val="3"/>
      <charset val="134"/>
    </font>
    <font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0" fontId="4" fillId="0" borderId="1" xfId="0" applyFont="1" applyBorder="1"/>
    <xf numFmtId="0" fontId="0" fillId="0" borderId="1" xfId="0" applyFont="1" applyFill="1" applyBorder="1"/>
    <xf numFmtId="0" fontId="0" fillId="0" borderId="1" xfId="0" applyFill="1" applyBorder="1"/>
    <xf numFmtId="0" fontId="5" fillId="0" borderId="0" xfId="0" applyFont="1"/>
    <xf numFmtId="0" fontId="3" fillId="0" borderId="1" xfId="0" applyFont="1" applyBorder="1"/>
    <xf numFmtId="0" fontId="3" fillId="0" borderId="1" xfId="0" applyFont="1" applyFill="1" applyBorder="1"/>
    <xf numFmtId="0" fontId="3" fillId="0" borderId="0" xfId="0" applyFont="1"/>
    <xf numFmtId="0" fontId="3" fillId="0" borderId="1" xfId="0" applyNumberFormat="1" applyFont="1" applyBorder="1"/>
    <xf numFmtId="0" fontId="2" fillId="0" borderId="0" xfId="0" applyFont="1"/>
    <xf numFmtId="0" fontId="3" fillId="0" borderId="1" xfId="0" applyFont="1" applyBorder="1" applyAlignment="1"/>
    <xf numFmtId="177" fontId="3" fillId="0" borderId="1" xfId="0" applyNumberFormat="1" applyFont="1" applyBorder="1"/>
    <xf numFmtId="177" fontId="5" fillId="0" borderId="1" xfId="0" applyNumberFormat="1" applyFont="1" applyBorder="1"/>
    <xf numFmtId="0" fontId="5" fillId="0" borderId="3" xfId="0" applyFont="1" applyBorder="1"/>
    <xf numFmtId="176" fontId="3" fillId="0" borderId="3" xfId="0" applyNumberFormat="1" applyFont="1" applyFill="1" applyBorder="1"/>
    <xf numFmtId="0" fontId="3" fillId="0" borderId="0" xfId="0" applyFont="1" applyFill="1" applyBorder="1" applyAlignment="1"/>
    <xf numFmtId="0" fontId="3" fillId="0" borderId="2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1" xfId="0" applyFont="1" applyFill="1" applyBorder="1"/>
    <xf numFmtId="0" fontId="3" fillId="0" borderId="0" xfId="0" applyFont="1" applyBorder="1"/>
    <xf numFmtId="0" fontId="0" fillId="0" borderId="0" xfId="0" applyBorder="1"/>
    <xf numFmtId="0" fontId="4" fillId="0" borderId="0" xfId="0" applyFont="1" applyFill="1" applyBorder="1"/>
  </cellXfs>
  <cellStyles count="1">
    <cellStyle name="常规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0" i="0" u="none" strike="noStrike" baseline="0" smtClean="0"/>
              <a:t>人员工资统计图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人员情况统计表!$J$13</c:f>
              <c:strCache>
                <c:ptCount val="1"/>
                <c:pt idx="0">
                  <c:v>平均岗位工资（元）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人员情况统计表!$I$14:$I$17</c:f>
              <c:strCache>
                <c:ptCount val="4"/>
                <c:pt idx="0">
                  <c:v>销售部</c:v>
                </c:pt>
                <c:pt idx="1">
                  <c:v>开发部</c:v>
                </c:pt>
                <c:pt idx="2">
                  <c:v>技术部</c:v>
                </c:pt>
                <c:pt idx="3">
                  <c:v>工程部</c:v>
                </c:pt>
              </c:strCache>
            </c:strRef>
          </c:cat>
          <c:val>
            <c:numRef>
              <c:f>人员情况统计表!$J$14:$J$17</c:f>
              <c:numCache>
                <c:formatCode>0_ </c:formatCode>
                <c:ptCount val="4"/>
                <c:pt idx="0">
                  <c:v>3097</c:v>
                </c:pt>
                <c:pt idx="1">
                  <c:v>4991.333333333333</c:v>
                </c:pt>
                <c:pt idx="2">
                  <c:v>6253.5</c:v>
                </c:pt>
                <c:pt idx="3">
                  <c:v>4139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8D-4C1A-A530-51A154053BF6}"/>
            </c:ext>
          </c:extLst>
        </c:ser>
        <c:ser>
          <c:idx val="1"/>
          <c:order val="1"/>
          <c:tx>
            <c:strRef>
              <c:f>人员情况统计表!$K$13</c:f>
              <c:strCache>
                <c:ptCount val="1"/>
                <c:pt idx="0">
                  <c:v>平均工资（元）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人员情况统计表!$I$14:$I$17</c:f>
              <c:strCache>
                <c:ptCount val="4"/>
                <c:pt idx="0">
                  <c:v>销售部</c:v>
                </c:pt>
                <c:pt idx="1">
                  <c:v>开发部</c:v>
                </c:pt>
                <c:pt idx="2">
                  <c:v>技术部</c:v>
                </c:pt>
                <c:pt idx="3">
                  <c:v>工程部</c:v>
                </c:pt>
              </c:strCache>
            </c:strRef>
          </c:cat>
          <c:val>
            <c:numRef>
              <c:f>人员情况统计表!$K$14:$K$17</c:f>
              <c:numCache>
                <c:formatCode>0_ </c:formatCode>
                <c:ptCount val="4"/>
                <c:pt idx="0">
                  <c:v>9317</c:v>
                </c:pt>
                <c:pt idx="1">
                  <c:v>12564.666666666666</c:v>
                </c:pt>
                <c:pt idx="2">
                  <c:v>15267.785714285714</c:v>
                </c:pt>
                <c:pt idx="3">
                  <c:v>10019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8D-4C1A-A530-51A154053B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5425144"/>
        <c:axId val="435423176"/>
      </c:barChart>
      <c:catAx>
        <c:axId val="435425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35423176"/>
        <c:crosses val="autoZero"/>
        <c:auto val="1"/>
        <c:lblAlgn val="ctr"/>
        <c:lblOffset val="100"/>
        <c:noMultiLvlLbl val="0"/>
      </c:catAx>
      <c:valAx>
        <c:axId val="435423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35425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23812</xdr:colOff>
      <xdr:row>19</xdr:row>
      <xdr:rowOff>42862</xdr:rowOff>
    </xdr:from>
    <xdr:to>
      <xdr:col>12</xdr:col>
      <xdr:colOff>9525</xdr:colOff>
      <xdr:row>32</xdr:row>
      <xdr:rowOff>171450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topLeftCell="D19" workbookViewId="0">
      <selection activeCell="F39" sqref="F39"/>
    </sheetView>
  </sheetViews>
  <sheetFormatPr defaultColWidth="8.625" defaultRowHeight="14.25" x14ac:dyDescent="0.15"/>
  <cols>
    <col min="1" max="1" width="8" style="5" customWidth="1"/>
    <col min="2" max="2" width="7.875" style="5" customWidth="1"/>
    <col min="3" max="3" width="9.125" style="5" customWidth="1"/>
    <col min="4" max="4" width="8.5" style="5" customWidth="1"/>
    <col min="5" max="5" width="14.375" style="5" customWidth="1"/>
    <col min="6" max="6" width="14.875" style="5" customWidth="1"/>
    <col min="7" max="7" width="14.375" style="5" customWidth="1"/>
    <col min="8" max="8" width="10" style="5" customWidth="1"/>
    <col min="9" max="9" width="9.125" style="5" customWidth="1"/>
    <col min="10" max="10" width="17.875" style="5" customWidth="1"/>
    <col min="11" max="11" width="15.125" style="5" customWidth="1"/>
    <col min="12" max="16384" width="8.625" style="5"/>
  </cols>
  <sheetData>
    <row r="1" spans="1:12" x14ac:dyDescent="0.15">
      <c r="A1" s="18" t="s">
        <v>60</v>
      </c>
      <c r="B1" s="18"/>
      <c r="C1" s="18"/>
      <c r="D1" s="18"/>
      <c r="E1" s="18"/>
      <c r="F1" s="18"/>
      <c r="G1" s="18"/>
      <c r="H1" s="8"/>
      <c r="I1" s="8"/>
      <c r="L1" s="8"/>
    </row>
    <row r="2" spans="1:12" x14ac:dyDescent="0.15">
      <c r="A2" s="11" t="s">
        <v>29</v>
      </c>
      <c r="B2" s="11" t="s">
        <v>30</v>
      </c>
      <c r="C2" s="11" t="s">
        <v>121</v>
      </c>
      <c r="D2" s="11" t="s">
        <v>61</v>
      </c>
      <c r="E2" s="11" t="s">
        <v>99</v>
      </c>
      <c r="F2" s="6" t="s">
        <v>100</v>
      </c>
      <c r="G2" s="6" t="s">
        <v>101</v>
      </c>
      <c r="H2" s="8"/>
      <c r="I2" s="8"/>
      <c r="L2" s="8"/>
    </row>
    <row r="3" spans="1:12" x14ac:dyDescent="0.15">
      <c r="A3" s="11" t="s">
        <v>32</v>
      </c>
      <c r="B3" s="11" t="s">
        <v>33</v>
      </c>
      <c r="C3" s="11" t="s">
        <v>34</v>
      </c>
      <c r="D3" s="11" t="s">
        <v>62</v>
      </c>
      <c r="E3" s="6">
        <f>VLOOKUP(C3,基础工资对照表!$A$3:$B$5,2,0)</f>
        <v>8600</v>
      </c>
      <c r="F3" s="12">
        <v>6000</v>
      </c>
      <c r="G3" s="12">
        <f>SUM(E3:F3)</f>
        <v>14600</v>
      </c>
      <c r="H3" s="8"/>
      <c r="L3" s="8"/>
    </row>
    <row r="4" spans="1:12" x14ac:dyDescent="0.15">
      <c r="A4" s="11" t="s">
        <v>35</v>
      </c>
      <c r="B4" s="11" t="s">
        <v>33</v>
      </c>
      <c r="C4" s="11" t="s">
        <v>34</v>
      </c>
      <c r="D4" s="11" t="s">
        <v>63</v>
      </c>
      <c r="E4" s="6">
        <f>VLOOKUP(C4,基础工资对照表!$A$3:$B$5,2,0)</f>
        <v>8600</v>
      </c>
      <c r="F4" s="12">
        <v>8200</v>
      </c>
      <c r="G4" s="12">
        <f t="shared" ref="G4:G51" si="0">SUM(E4:F4)</f>
        <v>16800</v>
      </c>
      <c r="H4" s="8"/>
      <c r="L4" s="8"/>
    </row>
    <row r="5" spans="1:12" x14ac:dyDescent="0.15">
      <c r="A5" s="11" t="s">
        <v>36</v>
      </c>
      <c r="B5" s="11" t="s">
        <v>37</v>
      </c>
      <c r="C5" s="11" t="s">
        <v>120</v>
      </c>
      <c r="D5" s="11" t="s">
        <v>62</v>
      </c>
      <c r="E5" s="6">
        <f>VLOOKUP(C5,基础工资对照表!$A$3:$B$5,2,0)</f>
        <v>5200</v>
      </c>
      <c r="F5" s="12">
        <v>3500</v>
      </c>
      <c r="G5" s="12">
        <f t="shared" si="0"/>
        <v>8700</v>
      </c>
      <c r="H5" s="8"/>
      <c r="I5" s="17" t="s">
        <v>108</v>
      </c>
      <c r="J5" s="17"/>
      <c r="K5" s="17"/>
      <c r="L5" s="8"/>
    </row>
    <row r="6" spans="1:12" x14ac:dyDescent="0.15">
      <c r="A6" s="11" t="s">
        <v>39</v>
      </c>
      <c r="B6" s="11" t="s">
        <v>33</v>
      </c>
      <c r="C6" s="11" t="s">
        <v>34</v>
      </c>
      <c r="D6" s="11" t="s">
        <v>64</v>
      </c>
      <c r="E6" s="6">
        <f>VLOOKUP(C6,基础工资对照表!$A$3:$B$5,2,0)</f>
        <v>8600</v>
      </c>
      <c r="F6" s="12">
        <v>7200</v>
      </c>
      <c r="G6" s="12">
        <f t="shared" si="0"/>
        <v>15800</v>
      </c>
      <c r="H6" s="8"/>
      <c r="I6" s="6" t="s">
        <v>31</v>
      </c>
      <c r="J6" s="6" t="s">
        <v>30</v>
      </c>
      <c r="K6" s="6" t="s">
        <v>43</v>
      </c>
      <c r="L6" s="8"/>
    </row>
    <row r="7" spans="1:12" x14ac:dyDescent="0.15">
      <c r="A7" s="11" t="s">
        <v>40</v>
      </c>
      <c r="B7" s="11" t="s">
        <v>37</v>
      </c>
      <c r="C7" s="11" t="s">
        <v>120</v>
      </c>
      <c r="D7" s="11" t="s">
        <v>63</v>
      </c>
      <c r="E7" s="6">
        <f>VLOOKUP(C7,基础工资对照表!$A$3:$B$5,2,0)</f>
        <v>5200</v>
      </c>
      <c r="F7" s="12">
        <v>4800</v>
      </c>
      <c r="G7" s="12">
        <f t="shared" si="0"/>
        <v>10000</v>
      </c>
      <c r="H7" s="8"/>
      <c r="I7" s="6" t="s">
        <v>122</v>
      </c>
      <c r="J7" s="9" t="s">
        <v>42</v>
      </c>
      <c r="K7" s="9">
        <f>COUNTIFS($B$3:$B$51,J7,$G$3:$G$51,I7)</f>
        <v>4</v>
      </c>
    </row>
    <row r="8" spans="1:12" x14ac:dyDescent="0.15">
      <c r="A8" s="11" t="s">
        <v>41</v>
      </c>
      <c r="B8" s="11" t="s">
        <v>42</v>
      </c>
      <c r="C8" s="11" t="s">
        <v>120</v>
      </c>
      <c r="D8" s="11" t="s">
        <v>63</v>
      </c>
      <c r="E8" s="6">
        <f>VLOOKUP(C8,基础工资对照表!$A$3:$B$5,2,0)</f>
        <v>5200</v>
      </c>
      <c r="F8" s="12">
        <v>2900</v>
      </c>
      <c r="G8" s="12">
        <f t="shared" si="0"/>
        <v>8100</v>
      </c>
      <c r="H8" s="8"/>
      <c r="I8" s="6" t="s">
        <v>123</v>
      </c>
      <c r="J8" s="9" t="s">
        <v>37</v>
      </c>
      <c r="K8" s="9">
        <f t="shared" ref="K8:K9" si="1">COUNTIFS($B$3:$B$51,J8,$G$3:$G$51,I8)</f>
        <v>12</v>
      </c>
    </row>
    <row r="9" spans="1:12" x14ac:dyDescent="0.15">
      <c r="A9" s="11" t="s">
        <v>44</v>
      </c>
      <c r="B9" s="11" t="s">
        <v>37</v>
      </c>
      <c r="C9" s="11" t="s">
        <v>120</v>
      </c>
      <c r="D9" s="11" t="s">
        <v>62</v>
      </c>
      <c r="E9" s="6">
        <f>VLOOKUP(C9,基础工资对照表!$A$3:$B$5,2,0)</f>
        <v>5200</v>
      </c>
      <c r="F9" s="12">
        <v>3100</v>
      </c>
      <c r="G9" s="12">
        <f t="shared" si="0"/>
        <v>8300</v>
      </c>
      <c r="H9" s="8"/>
      <c r="I9" s="6" t="s">
        <v>124</v>
      </c>
      <c r="J9" s="9" t="s">
        <v>33</v>
      </c>
      <c r="K9" s="9">
        <f t="shared" si="1"/>
        <v>11</v>
      </c>
    </row>
    <row r="10" spans="1:12" x14ac:dyDescent="0.15">
      <c r="A10" s="11" t="s">
        <v>45</v>
      </c>
      <c r="B10" s="11" t="s">
        <v>33</v>
      </c>
      <c r="C10" s="11" t="s">
        <v>38</v>
      </c>
      <c r="D10" s="11" t="s">
        <v>64</v>
      </c>
      <c r="E10" s="6">
        <f>VLOOKUP(C10,基础工资对照表!$A$3:$B$5,2,0)</f>
        <v>12800</v>
      </c>
      <c r="F10" s="12">
        <v>8090</v>
      </c>
      <c r="G10" s="12">
        <f t="shared" si="0"/>
        <v>20890</v>
      </c>
      <c r="H10" s="8"/>
    </row>
    <row r="11" spans="1:12" x14ac:dyDescent="0.15">
      <c r="A11" s="11" t="s">
        <v>46</v>
      </c>
      <c r="B11" s="11" t="s">
        <v>42</v>
      </c>
      <c r="C11" s="11" t="s">
        <v>120</v>
      </c>
      <c r="D11" s="11" t="s">
        <v>62</v>
      </c>
      <c r="E11" s="6">
        <f>VLOOKUP(C11,基础工资对照表!$A$3:$B$5,2,0)</f>
        <v>5200</v>
      </c>
      <c r="F11" s="12">
        <v>1800</v>
      </c>
      <c r="G11" s="12">
        <f t="shared" si="0"/>
        <v>7000</v>
      </c>
      <c r="H11" s="8"/>
    </row>
    <row r="12" spans="1:12" x14ac:dyDescent="0.15">
      <c r="A12" s="11" t="s">
        <v>47</v>
      </c>
      <c r="B12" s="11" t="s">
        <v>33</v>
      </c>
      <c r="C12" s="11" t="s">
        <v>120</v>
      </c>
      <c r="D12" s="11" t="s">
        <v>96</v>
      </c>
      <c r="E12" s="6">
        <f>VLOOKUP(C12,基础工资对照表!$A$3:$B$5,2,0)</f>
        <v>5200</v>
      </c>
      <c r="F12" s="12">
        <v>6000</v>
      </c>
      <c r="G12" s="12">
        <f t="shared" si="0"/>
        <v>11200</v>
      </c>
      <c r="H12" s="8"/>
      <c r="I12" s="18" t="s">
        <v>107</v>
      </c>
      <c r="J12" s="18"/>
      <c r="K12" s="18"/>
      <c r="L12" s="8"/>
    </row>
    <row r="13" spans="1:12" x14ac:dyDescent="0.15">
      <c r="A13" s="11" t="s">
        <v>48</v>
      </c>
      <c r="B13" s="11" t="s">
        <v>37</v>
      </c>
      <c r="C13" s="11" t="s">
        <v>120</v>
      </c>
      <c r="D13" s="11" t="s">
        <v>63</v>
      </c>
      <c r="E13" s="6">
        <f>VLOOKUP(C13,基础工资对照表!$A$3:$B$5,2,0)</f>
        <v>5200</v>
      </c>
      <c r="F13" s="12">
        <v>4600</v>
      </c>
      <c r="G13" s="12">
        <f t="shared" si="0"/>
        <v>9800</v>
      </c>
      <c r="H13" s="8"/>
      <c r="I13" s="6" t="s">
        <v>102</v>
      </c>
      <c r="J13" s="6" t="s">
        <v>109</v>
      </c>
      <c r="K13" s="6" t="s">
        <v>119</v>
      </c>
      <c r="L13" s="8"/>
    </row>
    <row r="14" spans="1:12" x14ac:dyDescent="0.15">
      <c r="A14" s="11" t="s">
        <v>49</v>
      </c>
      <c r="B14" s="11" t="s">
        <v>33</v>
      </c>
      <c r="C14" s="11" t="s">
        <v>95</v>
      </c>
      <c r="D14" s="11" t="s">
        <v>64</v>
      </c>
      <c r="E14" s="6">
        <f>VLOOKUP(C14,基础工资对照表!$A$3:$B$5,2,0)</f>
        <v>8600</v>
      </c>
      <c r="F14" s="12">
        <v>7300</v>
      </c>
      <c r="G14" s="12">
        <f t="shared" si="0"/>
        <v>15900</v>
      </c>
      <c r="H14" s="8"/>
      <c r="I14" s="6" t="s">
        <v>103</v>
      </c>
      <c r="J14" s="12">
        <f ca="1">AVERAGEIF($D$3:$D$51,I14,$F$3:$F$4)</f>
        <v>3097</v>
      </c>
      <c r="K14" s="13">
        <f>AVERAGEIF($D$3:$D$51,I14,$G$3:$G$51)</f>
        <v>9317</v>
      </c>
      <c r="L14" s="8"/>
    </row>
    <row r="15" spans="1:12" x14ac:dyDescent="0.15">
      <c r="A15" s="11" t="s">
        <v>50</v>
      </c>
      <c r="B15" s="11" t="s">
        <v>37</v>
      </c>
      <c r="C15" s="11" t="s">
        <v>120</v>
      </c>
      <c r="D15" s="11" t="s">
        <v>63</v>
      </c>
      <c r="E15" s="6">
        <f>VLOOKUP(C15,基础工资对照表!$A$3:$B$5,2,0)</f>
        <v>5200</v>
      </c>
      <c r="F15" s="12">
        <v>4300</v>
      </c>
      <c r="G15" s="12">
        <f t="shared" si="0"/>
        <v>9500</v>
      </c>
      <c r="H15" s="8"/>
      <c r="I15" s="6" t="s">
        <v>104</v>
      </c>
      <c r="J15" s="12">
        <f t="shared" ref="J15:J17" ca="1" si="2">AVERAGEIF($D$3:$D$51,I15,$F$3:$F$4)</f>
        <v>4991.333333333333</v>
      </c>
      <c r="K15" s="13">
        <f t="shared" ref="K15:K17" si="3">AVERAGEIF($D$3:$D$51,I15,$G$3:$G$51)</f>
        <v>12564.666666666666</v>
      </c>
      <c r="L15" s="8"/>
    </row>
    <row r="16" spans="1:12" x14ac:dyDescent="0.15">
      <c r="A16" s="11" t="s">
        <v>51</v>
      </c>
      <c r="B16" s="11" t="s">
        <v>37</v>
      </c>
      <c r="C16" s="11" t="s">
        <v>34</v>
      </c>
      <c r="D16" s="11" t="s">
        <v>63</v>
      </c>
      <c r="E16" s="6">
        <f>VLOOKUP(C16,基础工资对照表!$A$3:$B$5,2,0)</f>
        <v>8600</v>
      </c>
      <c r="F16" s="12">
        <v>4800</v>
      </c>
      <c r="G16" s="12">
        <f t="shared" si="0"/>
        <v>13400</v>
      </c>
      <c r="H16" s="8"/>
      <c r="I16" s="6" t="s">
        <v>105</v>
      </c>
      <c r="J16" s="12">
        <f t="shared" ca="1" si="2"/>
        <v>6253.5</v>
      </c>
      <c r="K16" s="13">
        <f t="shared" si="3"/>
        <v>15267.785714285714</v>
      </c>
      <c r="L16" s="8"/>
    </row>
    <row r="17" spans="1:12" x14ac:dyDescent="0.15">
      <c r="A17" s="11" t="s">
        <v>52</v>
      </c>
      <c r="B17" s="11" t="s">
        <v>33</v>
      </c>
      <c r="C17" s="11" t="s">
        <v>38</v>
      </c>
      <c r="D17" s="11" t="s">
        <v>64</v>
      </c>
      <c r="E17" s="6">
        <f>VLOOKUP(C17,基础工资对照表!$A$3:$B$5,2,0)</f>
        <v>12800</v>
      </c>
      <c r="F17" s="12">
        <v>9090</v>
      </c>
      <c r="G17" s="12">
        <f t="shared" si="0"/>
        <v>21890</v>
      </c>
      <c r="H17" s="8"/>
      <c r="I17" s="7" t="s">
        <v>106</v>
      </c>
      <c r="J17" s="12">
        <f t="shared" ca="1" si="2"/>
        <v>4139</v>
      </c>
      <c r="K17" s="13">
        <f t="shared" si="3"/>
        <v>10019</v>
      </c>
      <c r="L17" s="8"/>
    </row>
    <row r="18" spans="1:12" x14ac:dyDescent="0.15">
      <c r="A18" s="11" t="s">
        <v>53</v>
      </c>
      <c r="B18" s="11" t="s">
        <v>33</v>
      </c>
      <c r="C18" s="11" t="s">
        <v>95</v>
      </c>
      <c r="D18" s="11" t="s">
        <v>64</v>
      </c>
      <c r="E18" s="6">
        <f>VLOOKUP(C18,基础工资对照表!$A$3:$B$5,2,0)</f>
        <v>8600</v>
      </c>
      <c r="F18" s="12">
        <v>7500</v>
      </c>
      <c r="G18" s="12">
        <f t="shared" si="0"/>
        <v>16100</v>
      </c>
      <c r="H18" s="8"/>
      <c r="L18" s="8"/>
    </row>
    <row r="19" spans="1:12" x14ac:dyDescent="0.15">
      <c r="A19" s="11" t="s">
        <v>54</v>
      </c>
      <c r="B19" s="11" t="s">
        <v>37</v>
      </c>
      <c r="C19" s="11" t="s">
        <v>120</v>
      </c>
      <c r="D19" s="11" t="s">
        <v>63</v>
      </c>
      <c r="E19" s="6">
        <f>VLOOKUP(C19,基础工资对照表!$A$3:$B$5,2,0)</f>
        <v>5200</v>
      </c>
      <c r="F19" s="12">
        <v>4600</v>
      </c>
      <c r="G19" s="12">
        <f t="shared" si="0"/>
        <v>9800</v>
      </c>
      <c r="H19" s="8"/>
      <c r="L19" s="8"/>
    </row>
    <row r="20" spans="1:12" x14ac:dyDescent="0.15">
      <c r="A20" s="11" t="s">
        <v>55</v>
      </c>
      <c r="B20" s="11" t="s">
        <v>37</v>
      </c>
      <c r="C20" s="11" t="s">
        <v>120</v>
      </c>
      <c r="D20" s="11" t="s">
        <v>62</v>
      </c>
      <c r="E20" s="6">
        <f>VLOOKUP(C20,基础工资对照表!$A$3:$B$5,2,0)</f>
        <v>5200</v>
      </c>
      <c r="F20" s="12">
        <v>2890</v>
      </c>
      <c r="G20" s="12">
        <f t="shared" si="0"/>
        <v>8090</v>
      </c>
      <c r="H20" s="8"/>
      <c r="L20" s="8"/>
    </row>
    <row r="21" spans="1:12" x14ac:dyDescent="0.15">
      <c r="A21" s="11" t="s">
        <v>56</v>
      </c>
      <c r="B21" s="11" t="s">
        <v>42</v>
      </c>
      <c r="C21" s="11" t="s">
        <v>120</v>
      </c>
      <c r="D21" s="11" t="s">
        <v>96</v>
      </c>
      <c r="E21" s="6">
        <f>VLOOKUP(C21,基础工资对照表!$A$3:$B$5,2,0)</f>
        <v>5200</v>
      </c>
      <c r="F21" s="12">
        <v>3100</v>
      </c>
      <c r="G21" s="12">
        <f t="shared" si="0"/>
        <v>8300</v>
      </c>
      <c r="H21" s="8"/>
      <c r="L21" s="8"/>
    </row>
    <row r="22" spans="1:12" ht="15.75" x14ac:dyDescent="0.25">
      <c r="A22" s="11" t="s">
        <v>57</v>
      </c>
      <c r="B22" s="11" t="s">
        <v>37</v>
      </c>
      <c r="C22" s="11" t="s">
        <v>34</v>
      </c>
      <c r="D22" s="11" t="s">
        <v>96</v>
      </c>
      <c r="E22" s="6">
        <f>VLOOKUP(C22,基础工资对照表!$A$3:$B$5,2,0)</f>
        <v>8600</v>
      </c>
      <c r="F22" s="12">
        <v>4100</v>
      </c>
      <c r="G22" s="12">
        <f t="shared" si="0"/>
        <v>12700</v>
      </c>
      <c r="H22" s="8"/>
      <c r="K22" s="10"/>
      <c r="L22" s="8"/>
    </row>
    <row r="23" spans="1:12" ht="15.75" x14ac:dyDescent="0.25">
      <c r="A23" s="11" t="s">
        <v>58</v>
      </c>
      <c r="B23" s="11" t="s">
        <v>42</v>
      </c>
      <c r="C23" s="11" t="s">
        <v>120</v>
      </c>
      <c r="D23" s="11" t="s">
        <v>63</v>
      </c>
      <c r="E23" s="6">
        <f>VLOOKUP(C23,基础工资对照表!$A$3:$B$5,2,0)</f>
        <v>5200</v>
      </c>
      <c r="F23" s="12">
        <v>2890</v>
      </c>
      <c r="G23" s="12">
        <f t="shared" si="0"/>
        <v>8090</v>
      </c>
      <c r="H23" s="8"/>
      <c r="K23" s="10"/>
      <c r="L23" s="8"/>
    </row>
    <row r="24" spans="1:12" ht="15.75" x14ac:dyDescent="0.25">
      <c r="A24" s="11" t="s">
        <v>59</v>
      </c>
      <c r="B24" s="11" t="s">
        <v>37</v>
      </c>
      <c r="C24" s="11" t="s">
        <v>34</v>
      </c>
      <c r="D24" s="11" t="s">
        <v>64</v>
      </c>
      <c r="E24" s="6">
        <f>VLOOKUP(C24,基础工资对照表!$A$3:$B$5,2,0)</f>
        <v>8600</v>
      </c>
      <c r="F24" s="12">
        <v>4800</v>
      </c>
      <c r="G24" s="12">
        <f t="shared" si="0"/>
        <v>13400</v>
      </c>
      <c r="H24" s="8"/>
      <c r="K24" s="10"/>
      <c r="L24" s="8"/>
    </row>
    <row r="25" spans="1:12" x14ac:dyDescent="0.15">
      <c r="A25" s="11" t="s">
        <v>65</v>
      </c>
      <c r="B25" s="11" t="s">
        <v>33</v>
      </c>
      <c r="C25" s="11" t="s">
        <v>34</v>
      </c>
      <c r="D25" s="11" t="s">
        <v>64</v>
      </c>
      <c r="E25" s="6">
        <f>VLOOKUP(C25,基础工资对照表!$A$3:$B$5,2,0)</f>
        <v>8600</v>
      </c>
      <c r="F25" s="12">
        <v>6600</v>
      </c>
      <c r="G25" s="12">
        <f t="shared" si="0"/>
        <v>15200</v>
      </c>
      <c r="H25" s="8"/>
      <c r="K25" s="16"/>
    </row>
    <row r="26" spans="1:12" x14ac:dyDescent="0.15">
      <c r="A26" s="11" t="s">
        <v>66</v>
      </c>
      <c r="B26" s="11" t="s">
        <v>92</v>
      </c>
      <c r="C26" s="11" t="s">
        <v>34</v>
      </c>
      <c r="D26" s="11" t="s">
        <v>64</v>
      </c>
      <c r="E26" s="6">
        <f>VLOOKUP(C26,基础工资对照表!$A$3:$B$5,2,0)</f>
        <v>8600</v>
      </c>
      <c r="F26" s="12">
        <v>4600</v>
      </c>
      <c r="G26" s="12">
        <f t="shared" si="0"/>
        <v>13200</v>
      </c>
      <c r="H26" s="8"/>
    </row>
    <row r="27" spans="1:12" x14ac:dyDescent="0.15">
      <c r="A27" s="11" t="s">
        <v>67</v>
      </c>
      <c r="B27" s="11" t="s">
        <v>37</v>
      </c>
      <c r="C27" s="11" t="s">
        <v>120</v>
      </c>
      <c r="D27" s="11" t="s">
        <v>64</v>
      </c>
      <c r="E27" s="6">
        <f>VLOOKUP(C27,基础工资对照表!$A$3:$B$5,2,0)</f>
        <v>5200</v>
      </c>
      <c r="F27" s="12">
        <v>3900</v>
      </c>
      <c r="G27" s="12">
        <f t="shared" si="0"/>
        <v>9100</v>
      </c>
      <c r="H27" s="8"/>
    </row>
    <row r="28" spans="1:12" x14ac:dyDescent="0.15">
      <c r="A28" s="11" t="s">
        <v>68</v>
      </c>
      <c r="B28" s="11" t="s">
        <v>33</v>
      </c>
      <c r="C28" s="11" t="s">
        <v>34</v>
      </c>
      <c r="D28" s="11" t="s">
        <v>64</v>
      </c>
      <c r="E28" s="6">
        <f>VLOOKUP(C28,基础工资对照表!$A$3:$B$5,2,0)</f>
        <v>8600</v>
      </c>
      <c r="F28" s="12">
        <v>6980</v>
      </c>
      <c r="G28" s="12">
        <f t="shared" si="0"/>
        <v>15580</v>
      </c>
      <c r="H28" s="8"/>
    </row>
    <row r="29" spans="1:12" x14ac:dyDescent="0.15">
      <c r="A29" s="11" t="s">
        <v>69</v>
      </c>
      <c r="B29" s="11" t="s">
        <v>37</v>
      </c>
      <c r="C29" s="11" t="s">
        <v>95</v>
      </c>
      <c r="D29" s="11" t="s">
        <v>63</v>
      </c>
      <c r="E29" s="6">
        <f>VLOOKUP(C29,基础工资对照表!$A$3:$B$5,2,0)</f>
        <v>8600</v>
      </c>
      <c r="F29" s="12">
        <v>5980</v>
      </c>
      <c r="G29" s="12">
        <f t="shared" si="0"/>
        <v>14580</v>
      </c>
      <c r="H29" s="8"/>
    </row>
    <row r="30" spans="1:12" x14ac:dyDescent="0.15">
      <c r="A30" s="11" t="s">
        <v>70</v>
      </c>
      <c r="B30" s="11" t="s">
        <v>37</v>
      </c>
      <c r="C30" s="11" t="s">
        <v>120</v>
      </c>
      <c r="D30" s="11" t="s">
        <v>96</v>
      </c>
      <c r="E30" s="6">
        <f>VLOOKUP(C30,基础工资对照表!$A$3:$B$5,2,0)</f>
        <v>5200</v>
      </c>
      <c r="F30" s="12">
        <v>3800</v>
      </c>
      <c r="G30" s="12">
        <f t="shared" si="0"/>
        <v>9000</v>
      </c>
      <c r="H30" s="8"/>
    </row>
    <row r="31" spans="1:12" x14ac:dyDescent="0.15">
      <c r="A31" s="11" t="s">
        <v>71</v>
      </c>
      <c r="B31" s="11" t="s">
        <v>42</v>
      </c>
      <c r="C31" s="11" t="s">
        <v>120</v>
      </c>
      <c r="D31" s="11" t="s">
        <v>62</v>
      </c>
      <c r="E31" s="6">
        <f>VLOOKUP(C31,基础工资对照表!$A$3:$B$5,2,0)</f>
        <v>5200</v>
      </c>
      <c r="F31" s="12">
        <v>2100</v>
      </c>
      <c r="G31" s="12">
        <f t="shared" si="0"/>
        <v>7300</v>
      </c>
      <c r="H31" s="8"/>
    </row>
    <row r="32" spans="1:12" x14ac:dyDescent="0.15">
      <c r="A32" s="11" t="s">
        <v>72</v>
      </c>
      <c r="B32" s="11" t="s">
        <v>33</v>
      </c>
      <c r="C32" s="11" t="s">
        <v>38</v>
      </c>
      <c r="D32" s="11" t="s">
        <v>63</v>
      </c>
      <c r="E32" s="6">
        <f>VLOOKUP(C32,基础工资对照表!$A$3:$B$5,2,0)</f>
        <v>12800</v>
      </c>
      <c r="F32" s="12">
        <v>7860</v>
      </c>
      <c r="G32" s="12">
        <f t="shared" si="0"/>
        <v>20660</v>
      </c>
      <c r="H32" s="8"/>
    </row>
    <row r="33" spans="1:8" x14ac:dyDescent="0.15">
      <c r="A33" s="11" t="s">
        <v>73</v>
      </c>
      <c r="B33" s="11" t="s">
        <v>92</v>
      </c>
      <c r="C33" s="11" t="s">
        <v>120</v>
      </c>
      <c r="D33" s="11" t="s">
        <v>63</v>
      </c>
      <c r="E33" s="6">
        <f>VLOOKUP(C33,基础工资对照表!$A$3:$B$5,2,0)</f>
        <v>5200</v>
      </c>
      <c r="F33" s="12">
        <v>3990</v>
      </c>
      <c r="G33" s="12">
        <f t="shared" si="0"/>
        <v>9190</v>
      </c>
      <c r="H33" s="8"/>
    </row>
    <row r="34" spans="1:8" x14ac:dyDescent="0.15">
      <c r="A34" s="11" t="s">
        <v>74</v>
      </c>
      <c r="B34" s="11" t="s">
        <v>92</v>
      </c>
      <c r="C34" s="11" t="s">
        <v>95</v>
      </c>
      <c r="D34" s="11" t="s">
        <v>64</v>
      </c>
      <c r="E34" s="6">
        <f>VLOOKUP(C34,基础工资对照表!$A$3:$B$5,2,0)</f>
        <v>8600</v>
      </c>
      <c r="F34" s="12">
        <v>4680</v>
      </c>
      <c r="G34" s="12">
        <f t="shared" si="0"/>
        <v>13280</v>
      </c>
      <c r="H34" s="8"/>
    </row>
    <row r="35" spans="1:8" x14ac:dyDescent="0.15">
      <c r="A35" s="11" t="s">
        <v>75</v>
      </c>
      <c r="B35" s="11" t="s">
        <v>37</v>
      </c>
      <c r="C35" s="11" t="s">
        <v>120</v>
      </c>
      <c r="D35" s="11" t="s">
        <v>96</v>
      </c>
      <c r="E35" s="6">
        <f>VLOOKUP(C35,基础工资对照表!$A$3:$B$5,2,0)</f>
        <v>5200</v>
      </c>
      <c r="F35" s="12">
        <v>3900</v>
      </c>
      <c r="G35" s="12">
        <f t="shared" si="0"/>
        <v>9100</v>
      </c>
      <c r="H35" s="8"/>
    </row>
    <row r="36" spans="1:8" x14ac:dyDescent="0.15">
      <c r="A36" s="11" t="s">
        <v>76</v>
      </c>
      <c r="B36" s="11" t="s">
        <v>33</v>
      </c>
      <c r="C36" s="11" t="s">
        <v>95</v>
      </c>
      <c r="D36" s="11" t="s">
        <v>64</v>
      </c>
      <c r="E36" s="6">
        <f>VLOOKUP(C36,基础工资对照表!$A$3:$B$5,2,0)</f>
        <v>8600</v>
      </c>
      <c r="F36" s="12">
        <v>5950</v>
      </c>
      <c r="G36" s="12">
        <f t="shared" si="0"/>
        <v>14550</v>
      </c>
      <c r="H36" s="8"/>
    </row>
    <row r="37" spans="1:8" x14ac:dyDescent="0.15">
      <c r="A37" s="11" t="s">
        <v>77</v>
      </c>
      <c r="B37" s="11" t="s">
        <v>93</v>
      </c>
      <c r="C37" s="11" t="s">
        <v>120</v>
      </c>
      <c r="D37" s="11" t="s">
        <v>96</v>
      </c>
      <c r="E37" s="6">
        <f>VLOOKUP(C37,基础工资对照表!$A$3:$B$5,2,0)</f>
        <v>5200</v>
      </c>
      <c r="F37" s="12">
        <v>3100</v>
      </c>
      <c r="G37" s="12">
        <f t="shared" si="0"/>
        <v>8300</v>
      </c>
      <c r="H37" s="8"/>
    </row>
    <row r="38" spans="1:8" x14ac:dyDescent="0.15">
      <c r="A38" s="11" t="s">
        <v>78</v>
      </c>
      <c r="B38" s="11" t="s">
        <v>37</v>
      </c>
      <c r="C38" s="11" t="s">
        <v>34</v>
      </c>
      <c r="D38" s="11" t="s">
        <v>62</v>
      </c>
      <c r="E38" s="6">
        <f>VLOOKUP(C38,基础工资对照表!$A$3:$B$5,2,0)</f>
        <v>8600</v>
      </c>
      <c r="F38" s="12">
        <v>3200</v>
      </c>
      <c r="G38" s="12">
        <f t="shared" si="0"/>
        <v>11800</v>
      </c>
      <c r="H38" s="8"/>
    </row>
    <row r="39" spans="1:8" x14ac:dyDescent="0.15">
      <c r="A39" s="11" t="s">
        <v>79</v>
      </c>
      <c r="B39" s="11" t="s">
        <v>33</v>
      </c>
      <c r="C39" s="11" t="s">
        <v>38</v>
      </c>
      <c r="D39" s="11" t="s">
        <v>63</v>
      </c>
      <c r="E39" s="6">
        <f>VLOOKUP(C39,基础工资对照表!$A$3:$B$5,2,0)</f>
        <v>12800</v>
      </c>
      <c r="F39" s="12">
        <v>7300</v>
      </c>
      <c r="G39" s="12">
        <f t="shared" si="0"/>
        <v>20100</v>
      </c>
      <c r="H39" s="8"/>
    </row>
    <row r="40" spans="1:8" x14ac:dyDescent="0.15">
      <c r="A40" s="11" t="s">
        <v>80</v>
      </c>
      <c r="B40" s="11" t="s">
        <v>33</v>
      </c>
      <c r="C40" s="11" t="s">
        <v>120</v>
      </c>
      <c r="D40" s="11" t="s">
        <v>64</v>
      </c>
      <c r="E40" s="6">
        <f>VLOOKUP(C40,基础工资对照表!$A$3:$B$5,2,0)</f>
        <v>5200</v>
      </c>
      <c r="F40" s="12">
        <v>4569</v>
      </c>
      <c r="G40" s="12">
        <f t="shared" si="0"/>
        <v>9769</v>
      </c>
      <c r="H40" s="8"/>
    </row>
    <row r="41" spans="1:8" x14ac:dyDescent="0.15">
      <c r="A41" s="11" t="s">
        <v>81</v>
      </c>
      <c r="B41" s="11" t="s">
        <v>37</v>
      </c>
      <c r="C41" s="11" t="s">
        <v>120</v>
      </c>
      <c r="D41" s="11" t="s">
        <v>96</v>
      </c>
      <c r="E41" s="6">
        <f>VLOOKUP(C41,基础工资对照表!$A$3:$B$5,2,0)</f>
        <v>5200</v>
      </c>
      <c r="F41" s="12">
        <v>3700</v>
      </c>
      <c r="G41" s="12">
        <f t="shared" si="0"/>
        <v>8900</v>
      </c>
      <c r="H41" s="8"/>
    </row>
    <row r="42" spans="1:8" x14ac:dyDescent="0.15">
      <c r="A42" s="11" t="s">
        <v>82</v>
      </c>
      <c r="B42" s="11" t="s">
        <v>94</v>
      </c>
      <c r="C42" s="11" t="s">
        <v>120</v>
      </c>
      <c r="D42" s="11" t="s">
        <v>96</v>
      </c>
      <c r="E42" s="6">
        <f>VLOOKUP(C42,基础工资对照表!$A$3:$B$5,2,0)</f>
        <v>5200</v>
      </c>
      <c r="F42" s="13">
        <v>6200</v>
      </c>
      <c r="G42" s="12">
        <f t="shared" si="0"/>
        <v>11400</v>
      </c>
      <c r="H42" s="8"/>
    </row>
    <row r="43" spans="1:8" x14ac:dyDescent="0.15">
      <c r="A43" s="11" t="s">
        <v>83</v>
      </c>
      <c r="B43" s="11" t="s">
        <v>92</v>
      </c>
      <c r="C43" s="11" t="s">
        <v>120</v>
      </c>
      <c r="D43" s="11" t="s">
        <v>62</v>
      </c>
      <c r="E43" s="6">
        <f>VLOOKUP(C43,基础工资对照表!$A$3:$B$5,2,0)</f>
        <v>5200</v>
      </c>
      <c r="F43" s="12">
        <v>2980</v>
      </c>
      <c r="G43" s="12">
        <f t="shared" si="0"/>
        <v>8180</v>
      </c>
      <c r="H43" s="8"/>
    </row>
    <row r="44" spans="1:8" x14ac:dyDescent="0.15">
      <c r="A44" s="11" t="s">
        <v>84</v>
      </c>
      <c r="B44" s="11" t="s">
        <v>37</v>
      </c>
      <c r="C44" s="11" t="s">
        <v>34</v>
      </c>
      <c r="D44" s="11" t="s">
        <v>63</v>
      </c>
      <c r="E44" s="6">
        <f>VLOOKUP(C44,基础工资对照表!$A$3:$B$5,2,0)</f>
        <v>8600</v>
      </c>
      <c r="F44" s="12">
        <v>3910</v>
      </c>
      <c r="G44" s="12">
        <f t="shared" si="0"/>
        <v>12510</v>
      </c>
      <c r="H44" s="8"/>
    </row>
    <row r="45" spans="1:8" x14ac:dyDescent="0.15">
      <c r="A45" s="11" t="s">
        <v>85</v>
      </c>
      <c r="B45" s="11" t="s">
        <v>42</v>
      </c>
      <c r="C45" s="11" t="s">
        <v>120</v>
      </c>
      <c r="D45" s="11" t="s">
        <v>62</v>
      </c>
      <c r="E45" s="6">
        <f>VLOOKUP(C45,基础工资对照表!$A$3:$B$5,2,0)</f>
        <v>5200</v>
      </c>
      <c r="F45" s="12">
        <v>1700</v>
      </c>
      <c r="G45" s="12">
        <f t="shared" si="0"/>
        <v>6900</v>
      </c>
      <c r="H45" s="8"/>
    </row>
    <row r="46" spans="1:8" x14ac:dyDescent="0.15">
      <c r="A46" s="11" t="s">
        <v>86</v>
      </c>
      <c r="B46" s="11" t="s">
        <v>37</v>
      </c>
      <c r="C46" s="11" t="s">
        <v>34</v>
      </c>
      <c r="D46" s="11" t="s">
        <v>63</v>
      </c>
      <c r="E46" s="6">
        <f>VLOOKUP(C46,基础工资对照表!$A$3:$B$5,2,0)</f>
        <v>8600</v>
      </c>
      <c r="F46" s="12">
        <v>4180</v>
      </c>
      <c r="G46" s="12">
        <f t="shared" si="0"/>
        <v>12780</v>
      </c>
      <c r="H46" s="8"/>
    </row>
    <row r="47" spans="1:8" x14ac:dyDescent="0.15">
      <c r="A47" s="11" t="s">
        <v>87</v>
      </c>
      <c r="B47" s="11" t="s">
        <v>110</v>
      </c>
      <c r="C47" s="11" t="s">
        <v>115</v>
      </c>
      <c r="D47" s="11" t="s">
        <v>116</v>
      </c>
      <c r="E47" s="6">
        <f>VLOOKUP(C47,基础工资对照表!$A$3:$B$5,2,0)</f>
        <v>8600</v>
      </c>
      <c r="F47" s="12">
        <v>3700</v>
      </c>
      <c r="G47" s="12">
        <f t="shared" si="0"/>
        <v>12300</v>
      </c>
      <c r="H47" s="8"/>
    </row>
    <row r="48" spans="1:8" x14ac:dyDescent="0.15">
      <c r="A48" s="11" t="s">
        <v>88</v>
      </c>
      <c r="B48" s="11" t="s">
        <v>111</v>
      </c>
      <c r="C48" s="11" t="s">
        <v>120</v>
      </c>
      <c r="D48" s="11" t="s">
        <v>106</v>
      </c>
      <c r="E48" s="6">
        <f>VLOOKUP(C48,基础工资对照表!$A$3:$B$5,2,0)</f>
        <v>5200</v>
      </c>
      <c r="F48" s="12">
        <v>2690</v>
      </c>
      <c r="G48" s="12">
        <f t="shared" si="0"/>
        <v>7890</v>
      </c>
      <c r="H48" s="8"/>
    </row>
    <row r="49" spans="1:8" x14ac:dyDescent="0.15">
      <c r="A49" s="11" t="s">
        <v>89</v>
      </c>
      <c r="B49" s="11" t="s">
        <v>112</v>
      </c>
      <c r="C49" s="11" t="s">
        <v>115</v>
      </c>
      <c r="D49" s="11" t="s">
        <v>106</v>
      </c>
      <c r="E49" s="6">
        <f>VLOOKUP(C49,基础工资对照表!$A$3:$B$5,2,0)</f>
        <v>8600</v>
      </c>
      <c r="F49" s="12">
        <v>4800</v>
      </c>
      <c r="G49" s="12">
        <f t="shared" si="0"/>
        <v>13400</v>
      </c>
      <c r="H49" s="8"/>
    </row>
    <row r="50" spans="1:8" x14ac:dyDescent="0.15">
      <c r="A50" s="11" t="s">
        <v>90</v>
      </c>
      <c r="B50" s="6" t="s">
        <v>112</v>
      </c>
      <c r="C50" s="6" t="s">
        <v>114</v>
      </c>
      <c r="D50" s="11" t="s">
        <v>117</v>
      </c>
      <c r="E50" s="6">
        <f>VLOOKUP(C50,基础工资对照表!$A$3:$B$5,2,0)</f>
        <v>12800</v>
      </c>
      <c r="F50" s="12">
        <v>6290</v>
      </c>
      <c r="G50" s="12">
        <f t="shared" si="0"/>
        <v>19090</v>
      </c>
      <c r="H50" s="8"/>
    </row>
    <row r="51" spans="1:8" x14ac:dyDescent="0.15">
      <c r="A51" s="11" t="s">
        <v>91</v>
      </c>
      <c r="B51" s="6" t="s">
        <v>110</v>
      </c>
      <c r="C51" s="6" t="s">
        <v>113</v>
      </c>
      <c r="D51" s="11" t="s">
        <v>118</v>
      </c>
      <c r="E51" s="6">
        <f>VLOOKUP(C51,基础工资对照表!$A$3:$B$5,2,0)</f>
        <v>8600</v>
      </c>
      <c r="F51" s="12">
        <v>4560</v>
      </c>
      <c r="G51" s="12">
        <f t="shared" si="0"/>
        <v>13160</v>
      </c>
      <c r="H51" s="8"/>
    </row>
    <row r="52" spans="1:8" x14ac:dyDescent="0.15">
      <c r="F52" s="14"/>
      <c r="G52" s="15"/>
    </row>
  </sheetData>
  <sortState ref="A3:F57">
    <sortCondition ref="A3:A57"/>
  </sortState>
  <mergeCells count="3">
    <mergeCell ref="I5:K5"/>
    <mergeCell ref="I12:K12"/>
    <mergeCell ref="A1:G1"/>
  </mergeCells>
  <phoneticPr fontId="1" type="noConversion"/>
  <conditionalFormatting sqref="B26:B29 B31 H3:H51">
    <cfRule type="cellIs" dxfId="5" priority="11" stopIfTrue="1" operator="greaterThanOrEqual">
      <formula>130</formula>
    </cfRule>
  </conditionalFormatting>
  <conditionalFormatting sqref="B10:B14 F10:F14 B3:D3 B4:B8 F3:F8 C4:D24 F31 F38 F43 F45 D25:D51">
    <cfRule type="cellIs" dxfId="4" priority="10" stopIfTrue="1" operator="greaterThanOrEqual">
      <formula>130</formula>
    </cfRule>
  </conditionalFormatting>
  <conditionalFormatting sqref="I6 I8 I13:J13">
    <cfRule type="cellIs" dxfId="3" priority="9" stopIfTrue="1" operator="greaterThanOrEqual">
      <formula>130</formula>
    </cfRule>
  </conditionalFormatting>
  <conditionalFormatting sqref="B32:B36 B25:C25 C26:C49">
    <cfRule type="cellIs" dxfId="2" priority="5" stopIfTrue="1" operator="greaterThanOrEqual">
      <formula>130</formula>
    </cfRule>
  </conditionalFormatting>
  <conditionalFormatting sqref="G3:G51">
    <cfRule type="top10" dxfId="1" priority="1" percent="1" bottom="1" rank="10"/>
    <cfRule type="top10" dxfId="0" priority="2" percent="1" rank="10"/>
  </conditionalFormatting>
  <pageMargins left="0.75" right="0.75" top="1" bottom="1" header="0.5" footer="0.5"/>
  <pageSetup paperSize="9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I13" sqref="I13"/>
    </sheetView>
  </sheetViews>
  <sheetFormatPr defaultRowHeight="14.25" x14ac:dyDescent="0.15"/>
  <sheetData>
    <row r="1" spans="1:2" x14ac:dyDescent="0.15">
      <c r="A1" s="19" t="s">
        <v>97</v>
      </c>
      <c r="B1" s="19"/>
    </row>
    <row r="2" spans="1:2" x14ac:dyDescent="0.15">
      <c r="A2" s="6" t="s">
        <v>121</v>
      </c>
      <c r="B2" s="6" t="s">
        <v>98</v>
      </c>
    </row>
    <row r="3" spans="1:2" x14ac:dyDescent="0.15">
      <c r="A3" s="6" t="s">
        <v>38</v>
      </c>
      <c r="B3" s="13">
        <v>12800</v>
      </c>
    </row>
    <row r="4" spans="1:2" x14ac:dyDescent="0.15">
      <c r="A4" s="6" t="s">
        <v>34</v>
      </c>
      <c r="B4" s="12">
        <v>8600</v>
      </c>
    </row>
    <row r="5" spans="1:2" x14ac:dyDescent="0.15">
      <c r="A5" s="6" t="s">
        <v>120</v>
      </c>
      <c r="B5" s="13">
        <v>5200</v>
      </c>
    </row>
  </sheetData>
  <mergeCells count="1">
    <mergeCell ref="A1:B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4"/>
  <sheetViews>
    <sheetView tabSelected="1" workbookViewId="0">
      <selection activeCell="E14" sqref="E14"/>
    </sheetView>
  </sheetViews>
  <sheetFormatPr defaultRowHeight="14.25" outlineLevelRow="2" x14ac:dyDescent="0.15"/>
  <cols>
    <col min="1" max="1" width="9.875" customWidth="1"/>
    <col min="2" max="2" width="9.75" customWidth="1"/>
    <col min="3" max="3" width="6.5" customWidth="1"/>
    <col min="4" max="4" width="13.5" customWidth="1"/>
    <col min="5" max="5" width="11.625" customWidth="1"/>
    <col min="6" max="6" width="13.375" customWidth="1"/>
    <col min="7" max="7" width="12.125" customWidth="1"/>
  </cols>
  <sheetData>
    <row r="1" spans="1:7" x14ac:dyDescent="0.15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</row>
    <row r="2" spans="1:7" ht="15.75" outlineLevel="2" x14ac:dyDescent="0.25">
      <c r="A2" s="1" t="s">
        <v>19</v>
      </c>
      <c r="B2" s="6" t="s">
        <v>17</v>
      </c>
      <c r="C2" s="1">
        <v>4</v>
      </c>
      <c r="D2" s="1">
        <v>187</v>
      </c>
      <c r="E2" s="1">
        <v>13090</v>
      </c>
      <c r="F2" s="1">
        <f>_xlfn.RANK.EQ(D2,$D$2:$D$102)</f>
        <v>84</v>
      </c>
      <c r="G2" s="1">
        <f>_xlfn.RANK.EQ(E2,$E$2:$E$102)</f>
        <v>74</v>
      </c>
    </row>
    <row r="3" spans="1:7" ht="15.75" outlineLevel="2" x14ac:dyDescent="0.25">
      <c r="A3" s="1" t="s">
        <v>19</v>
      </c>
      <c r="B3" s="6" t="s">
        <v>17</v>
      </c>
      <c r="C3" s="1">
        <v>3</v>
      </c>
      <c r="D3" s="1">
        <v>323</v>
      </c>
      <c r="E3" s="1">
        <v>22610</v>
      </c>
      <c r="F3" s="1">
        <f>_xlfn.RANK.EQ(D3,$D$2:$D$102)</f>
        <v>51</v>
      </c>
      <c r="G3" s="1">
        <f>_xlfn.RANK.EQ(E3,$E$2:$E$102)</f>
        <v>51</v>
      </c>
    </row>
    <row r="4" spans="1:7" ht="15.75" outlineLevel="2" x14ac:dyDescent="0.25">
      <c r="A4" s="1" t="s">
        <v>19</v>
      </c>
      <c r="B4" s="6" t="s">
        <v>17</v>
      </c>
      <c r="C4" s="1">
        <v>1</v>
      </c>
      <c r="D4" s="1">
        <v>345</v>
      </c>
      <c r="E4" s="1">
        <v>24150</v>
      </c>
      <c r="F4" s="1">
        <f>_xlfn.RANK.EQ(D4,$D$2:$D$102)</f>
        <v>42</v>
      </c>
      <c r="G4" s="1">
        <f>_xlfn.RANK.EQ(E4,$E$2:$E$102)</f>
        <v>43</v>
      </c>
    </row>
    <row r="5" spans="1:7" ht="15.75" outlineLevel="2" x14ac:dyDescent="0.25">
      <c r="A5" s="1" t="s">
        <v>19</v>
      </c>
      <c r="B5" s="6" t="s">
        <v>17</v>
      </c>
      <c r="C5" s="1">
        <v>2</v>
      </c>
      <c r="D5" s="1">
        <v>412</v>
      </c>
      <c r="E5" s="1">
        <v>28840</v>
      </c>
      <c r="F5" s="1">
        <f>_xlfn.RANK.EQ(D5,$D$2:$D$102)</f>
        <v>33</v>
      </c>
      <c r="G5" s="1">
        <f>_xlfn.RANK.EQ(E5,$E$2:$E$102)</f>
        <v>31</v>
      </c>
    </row>
    <row r="6" spans="1:7" ht="15.75" outlineLevel="2" x14ac:dyDescent="0.25">
      <c r="A6" s="1" t="s">
        <v>19</v>
      </c>
      <c r="B6" s="6" t="s">
        <v>20</v>
      </c>
      <c r="C6" s="1">
        <v>4</v>
      </c>
      <c r="D6" s="1">
        <v>331</v>
      </c>
      <c r="E6" s="1">
        <v>10260</v>
      </c>
      <c r="F6" s="1">
        <f>_xlfn.RANK.EQ(D6,$D$2:$D$102)</f>
        <v>45</v>
      </c>
      <c r="G6" s="1">
        <f>_xlfn.RANK.EQ(E6,$E$2:$E$102)</f>
        <v>87</v>
      </c>
    </row>
    <row r="7" spans="1:7" ht="15.75" outlineLevel="2" x14ac:dyDescent="0.25">
      <c r="A7" s="1" t="s">
        <v>19</v>
      </c>
      <c r="B7" s="6" t="s">
        <v>20</v>
      </c>
      <c r="C7" s="1">
        <v>3</v>
      </c>
      <c r="D7" s="1">
        <v>365</v>
      </c>
      <c r="E7" s="1">
        <v>30950</v>
      </c>
      <c r="F7" s="1">
        <f>_xlfn.RANK.EQ(D7,$D$2:$D$102)</f>
        <v>39</v>
      </c>
      <c r="G7" s="1">
        <f>_xlfn.RANK.EQ(E7,$E$2:$E$102)</f>
        <v>26</v>
      </c>
    </row>
    <row r="8" spans="1:7" ht="15.75" outlineLevel="2" x14ac:dyDescent="0.25">
      <c r="A8" s="1" t="s">
        <v>19</v>
      </c>
      <c r="B8" s="6" t="s">
        <v>20</v>
      </c>
      <c r="C8" s="1">
        <v>2</v>
      </c>
      <c r="D8" s="1">
        <v>654</v>
      </c>
      <c r="E8" s="1">
        <v>19620</v>
      </c>
      <c r="F8" s="1">
        <f>_xlfn.RANK.EQ(D8,$D$2:$D$102)</f>
        <v>9</v>
      </c>
      <c r="G8" s="1">
        <f>_xlfn.RANK.EQ(E8,$E$2:$E$102)</f>
        <v>56</v>
      </c>
    </row>
    <row r="9" spans="1:7" ht="15.75" outlineLevel="2" x14ac:dyDescent="0.25">
      <c r="A9" s="1" t="s">
        <v>19</v>
      </c>
      <c r="B9" s="6" t="s">
        <v>20</v>
      </c>
      <c r="C9" s="1">
        <v>1</v>
      </c>
      <c r="D9" s="1">
        <v>765</v>
      </c>
      <c r="E9" s="1">
        <v>22950</v>
      </c>
      <c r="F9" s="1">
        <f>_xlfn.RANK.EQ(D9,$D$2:$D$102)</f>
        <v>4</v>
      </c>
      <c r="G9" s="1">
        <f>_xlfn.RANK.EQ(E9,$E$2:$E$102)</f>
        <v>48</v>
      </c>
    </row>
    <row r="10" spans="1:7" outlineLevel="2" x14ac:dyDescent="0.15">
      <c r="A10" s="6" t="s">
        <v>22</v>
      </c>
      <c r="B10" s="6" t="s">
        <v>23</v>
      </c>
      <c r="C10" s="1">
        <v>1</v>
      </c>
      <c r="D10" s="1">
        <v>436</v>
      </c>
      <c r="E10" s="1">
        <v>35648</v>
      </c>
      <c r="F10" s="1">
        <f>_xlfn.RANK.EQ(D10,$D$2:$D$102)</f>
        <v>25</v>
      </c>
      <c r="G10" s="1">
        <f>_xlfn.RANK.EQ(E10,$E$2:$E$102)</f>
        <v>19</v>
      </c>
    </row>
    <row r="11" spans="1:7" outlineLevel="2" x14ac:dyDescent="0.15">
      <c r="A11" s="6" t="s">
        <v>1</v>
      </c>
      <c r="B11" s="6" t="s">
        <v>23</v>
      </c>
      <c r="C11" s="1">
        <v>3</v>
      </c>
      <c r="D11" s="1">
        <v>231</v>
      </c>
      <c r="E11" s="1">
        <v>23217</v>
      </c>
      <c r="F11" s="1">
        <f>_xlfn.RANK.EQ(D11,$D$2:$D$102)</f>
        <v>67</v>
      </c>
      <c r="G11" s="1">
        <f>_xlfn.RANK.EQ(E11,$E$2:$E$102)</f>
        <v>45</v>
      </c>
    </row>
    <row r="12" spans="1:7" outlineLevel="2" x14ac:dyDescent="0.15">
      <c r="A12" s="6" t="s">
        <v>1</v>
      </c>
      <c r="B12" s="6" t="s">
        <v>23</v>
      </c>
      <c r="C12" s="1">
        <v>4</v>
      </c>
      <c r="D12" s="1">
        <v>366</v>
      </c>
      <c r="E12" s="1">
        <v>29879</v>
      </c>
      <c r="F12" s="1">
        <f>_xlfn.RANK.EQ(D12,$D$2:$D$102)</f>
        <v>38</v>
      </c>
      <c r="G12" s="1">
        <f>_xlfn.RANK.EQ(E12,$E$2:$E$102)</f>
        <v>27</v>
      </c>
    </row>
    <row r="13" spans="1:7" outlineLevel="2" x14ac:dyDescent="0.15">
      <c r="A13" s="6" t="s">
        <v>22</v>
      </c>
      <c r="B13" s="6" t="s">
        <v>23</v>
      </c>
      <c r="C13" s="1">
        <v>2</v>
      </c>
      <c r="D13" s="1">
        <v>655</v>
      </c>
      <c r="E13" s="1">
        <v>45321</v>
      </c>
      <c r="F13" s="1">
        <f>_xlfn.RANK.EQ(D13,$D$2:$D$102)</f>
        <v>8</v>
      </c>
      <c r="G13" s="1">
        <f>_xlfn.RANK.EQ(E13,$E$2:$E$102)</f>
        <v>13</v>
      </c>
    </row>
    <row r="14" spans="1:7" ht="15.75" outlineLevel="2" x14ac:dyDescent="0.25">
      <c r="A14" s="1" t="s">
        <v>12</v>
      </c>
      <c r="B14" s="6" t="s">
        <v>15</v>
      </c>
      <c r="C14" s="1">
        <v>2</v>
      </c>
      <c r="D14" s="1">
        <v>435</v>
      </c>
      <c r="E14" s="1">
        <v>21750</v>
      </c>
      <c r="F14" s="1">
        <f>_xlfn.RANK.EQ(D14,$D$2:$D$102)</f>
        <v>26</v>
      </c>
      <c r="G14" s="1">
        <f>_xlfn.RANK.EQ(E14,$E$2:$E$102)</f>
        <v>52</v>
      </c>
    </row>
    <row r="15" spans="1:7" ht="15.75" outlineLevel="2" x14ac:dyDescent="0.25">
      <c r="A15" s="1" t="s">
        <v>19</v>
      </c>
      <c r="B15" s="6" t="s">
        <v>15</v>
      </c>
      <c r="C15" s="1">
        <v>3</v>
      </c>
      <c r="D15" s="1">
        <v>324</v>
      </c>
      <c r="E15" s="1">
        <v>16200</v>
      </c>
      <c r="F15" s="1">
        <f>_xlfn.RANK.EQ(D15,$D$2:$D$102)</f>
        <v>49</v>
      </c>
      <c r="G15" s="1">
        <f>_xlfn.RANK.EQ(E15,$E$2:$E$102)</f>
        <v>65</v>
      </c>
    </row>
    <row r="16" spans="1:7" ht="15.75" outlineLevel="2" x14ac:dyDescent="0.25">
      <c r="A16" s="1" t="s">
        <v>19</v>
      </c>
      <c r="B16" s="6" t="s">
        <v>15</v>
      </c>
      <c r="C16" s="1">
        <v>4</v>
      </c>
      <c r="D16" s="1">
        <v>287</v>
      </c>
      <c r="E16" s="1">
        <v>14350</v>
      </c>
      <c r="F16" s="1">
        <f>_xlfn.RANK.EQ(D16,$D$2:$D$102)</f>
        <v>60</v>
      </c>
      <c r="G16" s="1">
        <f>_xlfn.RANK.EQ(E16,$E$2:$E$102)</f>
        <v>70</v>
      </c>
    </row>
    <row r="17" spans="1:7" ht="15.75" outlineLevel="2" x14ac:dyDescent="0.25">
      <c r="A17" s="1" t="s">
        <v>19</v>
      </c>
      <c r="B17" s="6" t="s">
        <v>15</v>
      </c>
      <c r="C17" s="1">
        <v>1</v>
      </c>
      <c r="D17" s="1">
        <v>569</v>
      </c>
      <c r="E17" s="1">
        <v>28450</v>
      </c>
      <c r="F17" s="1">
        <f>_xlfn.RANK.EQ(D17,$D$2:$D$102)</f>
        <v>13</v>
      </c>
      <c r="G17" s="1">
        <f>_xlfn.RANK.EQ(E17,$E$2:$E$102)</f>
        <v>34</v>
      </c>
    </row>
    <row r="18" spans="1:7" outlineLevel="1" x14ac:dyDescent="0.15">
      <c r="A18" s="2" t="s">
        <v>125</v>
      </c>
      <c r="B18" s="6"/>
      <c r="C18" s="1"/>
      <c r="D18" s="1"/>
      <c r="E18" s="1">
        <f>SUBTOTAL(9,E2:E17)</f>
        <v>387285</v>
      </c>
      <c r="F18" s="1"/>
      <c r="G18" s="1"/>
    </row>
    <row r="19" spans="1:7" ht="15.75" outlineLevel="2" x14ac:dyDescent="0.25">
      <c r="A19" s="1" t="s">
        <v>16</v>
      </c>
      <c r="B19" s="6" t="s">
        <v>17</v>
      </c>
      <c r="C19" s="1">
        <v>2</v>
      </c>
      <c r="D19" s="1">
        <v>256</v>
      </c>
      <c r="E19" s="1">
        <v>17920</v>
      </c>
      <c r="F19" s="1">
        <f>_xlfn.RANK.EQ(D19,$D$2:$D$102)</f>
        <v>63</v>
      </c>
      <c r="G19" s="1">
        <f>_xlfn.RANK.EQ(E19,$E$2:$E$102)</f>
        <v>61</v>
      </c>
    </row>
    <row r="20" spans="1:7" ht="15.75" outlineLevel="2" x14ac:dyDescent="0.25">
      <c r="A20" s="1" t="s">
        <v>16</v>
      </c>
      <c r="B20" s="6" t="s">
        <v>17</v>
      </c>
      <c r="C20" s="1">
        <v>4</v>
      </c>
      <c r="D20" s="1">
        <v>196</v>
      </c>
      <c r="E20" s="1">
        <v>13720</v>
      </c>
      <c r="F20" s="1">
        <f>_xlfn.RANK.EQ(D20,$D$2:$D$102)</f>
        <v>81</v>
      </c>
      <c r="G20" s="1">
        <f>_xlfn.RANK.EQ(E20,$E$2:$E$102)</f>
        <v>72</v>
      </c>
    </row>
    <row r="21" spans="1:7" ht="15.75" outlineLevel="2" x14ac:dyDescent="0.25">
      <c r="A21" s="1" t="s">
        <v>16</v>
      </c>
      <c r="B21" s="6" t="s">
        <v>17</v>
      </c>
      <c r="C21" s="1">
        <v>3</v>
      </c>
      <c r="D21" s="1">
        <v>235</v>
      </c>
      <c r="E21" s="1">
        <v>16380</v>
      </c>
      <c r="F21" s="1">
        <f>_xlfn.RANK.EQ(D21,$D$2:$D$102)</f>
        <v>64</v>
      </c>
      <c r="G21" s="1">
        <f>_xlfn.RANK.EQ(E21,$E$2:$E$102)</f>
        <v>63</v>
      </c>
    </row>
    <row r="22" spans="1:7" ht="15.75" outlineLevel="2" x14ac:dyDescent="0.25">
      <c r="A22" s="1" t="s">
        <v>16</v>
      </c>
      <c r="B22" s="6" t="s">
        <v>17</v>
      </c>
      <c r="C22" s="1">
        <v>1</v>
      </c>
      <c r="D22" s="1">
        <v>206</v>
      </c>
      <c r="E22" s="1">
        <v>14420</v>
      </c>
      <c r="F22" s="1">
        <f>_xlfn.RANK.EQ(D22,$D$2:$D$102)</f>
        <v>79</v>
      </c>
      <c r="G22" s="1">
        <f>_xlfn.RANK.EQ(E22,$E$2:$E$102)</f>
        <v>68</v>
      </c>
    </row>
    <row r="23" spans="1:7" ht="15.75" outlineLevel="2" x14ac:dyDescent="0.25">
      <c r="A23" s="1" t="s">
        <v>16</v>
      </c>
      <c r="B23" s="6" t="s">
        <v>20</v>
      </c>
      <c r="C23" s="1">
        <v>1</v>
      </c>
      <c r="D23" s="1">
        <v>221</v>
      </c>
      <c r="E23" s="1">
        <v>6630</v>
      </c>
      <c r="F23" s="1">
        <f>_xlfn.RANK.EQ(D23,$D$2:$D$102)</f>
        <v>68</v>
      </c>
      <c r="G23" s="1">
        <f>_xlfn.RANK.EQ(E23,$E$2:$E$102)</f>
        <v>101</v>
      </c>
    </row>
    <row r="24" spans="1:7" ht="15.75" outlineLevel="2" x14ac:dyDescent="0.25">
      <c r="A24" s="1" t="s">
        <v>16</v>
      </c>
      <c r="B24" s="6" t="s">
        <v>20</v>
      </c>
      <c r="C24" s="1">
        <v>2</v>
      </c>
      <c r="D24" s="1">
        <v>312</v>
      </c>
      <c r="E24" s="1">
        <v>13360</v>
      </c>
      <c r="F24" s="1">
        <f>_xlfn.RANK.EQ(D24,$D$2:$D$102)</f>
        <v>54</v>
      </c>
      <c r="G24" s="1">
        <f>_xlfn.RANK.EQ(E24,$E$2:$E$102)</f>
        <v>73</v>
      </c>
    </row>
    <row r="25" spans="1:7" ht="15.75" outlineLevel="2" x14ac:dyDescent="0.25">
      <c r="A25" s="1" t="s">
        <v>16</v>
      </c>
      <c r="B25" s="6" t="s">
        <v>20</v>
      </c>
      <c r="C25" s="1">
        <v>4</v>
      </c>
      <c r="D25" s="1">
        <v>421</v>
      </c>
      <c r="E25" s="1">
        <v>12630</v>
      </c>
      <c r="F25" s="1">
        <f>_xlfn.RANK.EQ(D25,$D$2:$D$102)</f>
        <v>32</v>
      </c>
      <c r="G25" s="1">
        <f>_xlfn.RANK.EQ(E25,$E$2:$E$102)</f>
        <v>77</v>
      </c>
    </row>
    <row r="26" spans="1:7" ht="15.75" outlineLevel="2" x14ac:dyDescent="0.25">
      <c r="A26" s="1" t="s">
        <v>16</v>
      </c>
      <c r="B26" s="6" t="s">
        <v>20</v>
      </c>
      <c r="C26" s="1">
        <v>3</v>
      </c>
      <c r="D26" s="1">
        <v>543</v>
      </c>
      <c r="E26" s="1">
        <v>16290</v>
      </c>
      <c r="F26" s="1">
        <f>_xlfn.RANK.EQ(D26,$D$2:$D$102)</f>
        <v>16</v>
      </c>
      <c r="G26" s="1">
        <f>_xlfn.RANK.EQ(E26,$E$2:$E$102)</f>
        <v>64</v>
      </c>
    </row>
    <row r="27" spans="1:7" outlineLevel="2" x14ac:dyDescent="0.15">
      <c r="A27" s="6" t="s">
        <v>25</v>
      </c>
      <c r="B27" s="1" t="s">
        <v>0</v>
      </c>
      <c r="C27" s="1">
        <v>1</v>
      </c>
      <c r="D27" s="1">
        <v>123</v>
      </c>
      <c r="E27" s="1">
        <v>7685</v>
      </c>
      <c r="F27" s="1">
        <f>_xlfn.RANK.EQ(D27,$D$2:$D$102)</f>
        <v>92</v>
      </c>
      <c r="G27" s="1">
        <f>_xlfn.RANK.EQ(E27,$E$2:$E$102)</f>
        <v>100</v>
      </c>
    </row>
    <row r="28" spans="1:7" outlineLevel="2" x14ac:dyDescent="0.15">
      <c r="A28" s="6" t="s">
        <v>25</v>
      </c>
      <c r="B28" s="1" t="s">
        <v>0</v>
      </c>
      <c r="C28" s="1">
        <v>2</v>
      </c>
      <c r="D28" s="1">
        <v>342</v>
      </c>
      <c r="E28" s="1">
        <v>23718</v>
      </c>
      <c r="F28" s="1">
        <f>_xlfn.RANK.EQ(D28,$D$2:$D$102)</f>
        <v>43</v>
      </c>
      <c r="G28" s="1">
        <f>_xlfn.RANK.EQ(E28,$E$2:$E$102)</f>
        <v>44</v>
      </c>
    </row>
    <row r="29" spans="1:7" outlineLevel="2" x14ac:dyDescent="0.15">
      <c r="A29" s="6" t="s">
        <v>25</v>
      </c>
      <c r="B29" s="1" t="s">
        <v>0</v>
      </c>
      <c r="C29" s="1">
        <v>4</v>
      </c>
      <c r="D29" s="1">
        <v>341</v>
      </c>
      <c r="E29" s="1">
        <v>26785</v>
      </c>
      <c r="F29" s="1">
        <f>_xlfn.RANK.EQ(D29,$D$2:$D$102)</f>
        <v>44</v>
      </c>
      <c r="G29" s="1">
        <f>_xlfn.RANK.EQ(E29,$E$2:$E$102)</f>
        <v>37</v>
      </c>
    </row>
    <row r="30" spans="1:7" outlineLevel="2" x14ac:dyDescent="0.15">
      <c r="A30" s="6" t="s">
        <v>25</v>
      </c>
      <c r="B30" s="1" t="s">
        <v>0</v>
      </c>
      <c r="C30" s="1">
        <v>3</v>
      </c>
      <c r="D30" s="1">
        <v>542</v>
      </c>
      <c r="E30" s="1">
        <v>41234</v>
      </c>
      <c r="F30" s="1">
        <f>_xlfn.RANK.EQ(D30,$D$2:$D$102)</f>
        <v>17</v>
      </c>
      <c r="G30" s="1">
        <f>_xlfn.RANK.EQ(E30,$E$2:$E$102)</f>
        <v>16</v>
      </c>
    </row>
    <row r="31" spans="1:7" ht="15.75" outlineLevel="2" x14ac:dyDescent="0.25">
      <c r="A31" s="1" t="s">
        <v>16</v>
      </c>
      <c r="B31" s="6" t="s">
        <v>15</v>
      </c>
      <c r="C31" s="1">
        <v>1</v>
      </c>
      <c r="D31" s="1">
        <v>167</v>
      </c>
      <c r="E31" s="1">
        <v>8350</v>
      </c>
      <c r="F31" s="1">
        <f>_xlfn.RANK.EQ(D31,$D$2:$D$102)</f>
        <v>85</v>
      </c>
      <c r="G31" s="1">
        <f>_xlfn.RANK.EQ(E31,$E$2:$E$102)</f>
        <v>98</v>
      </c>
    </row>
    <row r="32" spans="1:7" ht="15.75" outlineLevel="2" x14ac:dyDescent="0.25">
      <c r="A32" s="1" t="s">
        <v>16</v>
      </c>
      <c r="B32" s="6" t="s">
        <v>15</v>
      </c>
      <c r="C32" s="1">
        <v>4</v>
      </c>
      <c r="D32" s="1">
        <v>219</v>
      </c>
      <c r="E32" s="1">
        <v>10950</v>
      </c>
      <c r="F32" s="1">
        <f>_xlfn.RANK.EQ(D32,$D$2:$D$102)</f>
        <v>70</v>
      </c>
      <c r="G32" s="1">
        <f>_xlfn.RANK.EQ(E32,$E$2:$E$102)</f>
        <v>81</v>
      </c>
    </row>
    <row r="33" spans="1:7" ht="15.75" outlineLevel="2" x14ac:dyDescent="0.25">
      <c r="A33" s="1" t="s">
        <v>16</v>
      </c>
      <c r="B33" s="6" t="s">
        <v>15</v>
      </c>
      <c r="C33" s="1">
        <v>2</v>
      </c>
      <c r="D33" s="1">
        <v>211</v>
      </c>
      <c r="E33" s="1">
        <v>10550</v>
      </c>
      <c r="F33" s="1">
        <f>_xlfn.RANK.EQ(D33,$D$2:$D$102)</f>
        <v>78</v>
      </c>
      <c r="G33" s="1">
        <f>_xlfn.RANK.EQ(E33,$E$2:$E$102)</f>
        <v>86</v>
      </c>
    </row>
    <row r="34" spans="1:7" ht="15.75" outlineLevel="2" x14ac:dyDescent="0.25">
      <c r="A34" s="1" t="s">
        <v>16</v>
      </c>
      <c r="B34" s="6" t="s">
        <v>15</v>
      </c>
      <c r="C34" s="1">
        <v>3</v>
      </c>
      <c r="D34" s="1">
        <v>218</v>
      </c>
      <c r="E34" s="1">
        <v>10900</v>
      </c>
      <c r="F34" s="1">
        <f>_xlfn.RANK.EQ(D34,$D$2:$D$102)</f>
        <v>71</v>
      </c>
      <c r="G34" s="1">
        <f>_xlfn.RANK.EQ(E34,$E$2:$E$102)</f>
        <v>82</v>
      </c>
    </row>
    <row r="35" spans="1:7" outlineLevel="1" x14ac:dyDescent="0.15">
      <c r="A35" s="2" t="s">
        <v>126</v>
      </c>
      <c r="B35" s="6"/>
      <c r="C35" s="1"/>
      <c r="D35" s="1"/>
      <c r="E35" s="1">
        <f>SUBTOTAL(9,E19:E34)</f>
        <v>251522</v>
      </c>
      <c r="F35" s="1"/>
      <c r="G35" s="1"/>
    </row>
    <row r="36" spans="1:7" ht="15.75" outlineLevel="2" x14ac:dyDescent="0.25">
      <c r="A36" s="1" t="s">
        <v>9</v>
      </c>
      <c r="B36" s="6" t="s">
        <v>10</v>
      </c>
      <c r="C36" s="1">
        <v>3</v>
      </c>
      <c r="D36" s="1">
        <v>124</v>
      </c>
      <c r="E36" s="1">
        <v>8680</v>
      </c>
      <c r="F36" s="1">
        <f>_xlfn.RANK.EQ(D36,$D$2:$D$102)</f>
        <v>91</v>
      </c>
      <c r="G36" s="1">
        <f>_xlfn.RANK.EQ(E36,$E$2:$E$102)</f>
        <v>97</v>
      </c>
    </row>
    <row r="37" spans="1:7" ht="15.75" outlineLevel="2" x14ac:dyDescent="0.25">
      <c r="A37" s="1" t="s">
        <v>18</v>
      </c>
      <c r="B37" s="6" t="s">
        <v>17</v>
      </c>
      <c r="C37" s="1">
        <v>4</v>
      </c>
      <c r="D37" s="1">
        <v>157</v>
      </c>
      <c r="E37" s="1">
        <v>10990</v>
      </c>
      <c r="F37" s="1">
        <f>_xlfn.RANK.EQ(D37,$D$2:$D$102)</f>
        <v>87</v>
      </c>
      <c r="G37" s="1">
        <f>_xlfn.RANK.EQ(E37,$E$2:$E$102)</f>
        <v>80</v>
      </c>
    </row>
    <row r="38" spans="1:7" ht="15.75" outlineLevel="2" x14ac:dyDescent="0.25">
      <c r="A38" s="1" t="s">
        <v>18</v>
      </c>
      <c r="B38" s="6" t="s">
        <v>17</v>
      </c>
      <c r="C38" s="1">
        <v>2</v>
      </c>
      <c r="D38" s="1">
        <v>351</v>
      </c>
      <c r="E38" s="1">
        <v>26541</v>
      </c>
      <c r="F38" s="1">
        <f>_xlfn.RANK.EQ(D38,$D$2:$D$102)</f>
        <v>41</v>
      </c>
      <c r="G38" s="1">
        <f>_xlfn.RANK.EQ(E38,$E$2:$E$102)</f>
        <v>39</v>
      </c>
    </row>
    <row r="39" spans="1:7" ht="15.75" outlineLevel="2" x14ac:dyDescent="0.25">
      <c r="A39" s="1" t="s">
        <v>18</v>
      </c>
      <c r="B39" s="6" t="s">
        <v>17</v>
      </c>
      <c r="C39" s="1">
        <v>1</v>
      </c>
      <c r="D39" s="1">
        <v>212</v>
      </c>
      <c r="E39" s="1">
        <v>18840</v>
      </c>
      <c r="F39" s="1">
        <f>_xlfn.RANK.EQ(D39,$D$2:$D$102)</f>
        <v>77</v>
      </c>
      <c r="G39" s="1">
        <f>_xlfn.RANK.EQ(E39,$E$2:$E$102)</f>
        <v>60</v>
      </c>
    </row>
    <row r="40" spans="1:7" ht="15.75" outlineLevel="2" x14ac:dyDescent="0.25">
      <c r="A40" s="1" t="s">
        <v>18</v>
      </c>
      <c r="B40" s="6" t="s">
        <v>20</v>
      </c>
      <c r="C40" s="1">
        <v>4</v>
      </c>
      <c r="D40" s="1">
        <v>434</v>
      </c>
      <c r="E40" s="1">
        <v>32960</v>
      </c>
      <c r="F40" s="1">
        <f>_xlfn.RANK.EQ(D40,$D$2:$D$102)</f>
        <v>27</v>
      </c>
      <c r="G40" s="1">
        <f>_xlfn.RANK.EQ(E40,$E$2:$E$102)</f>
        <v>20</v>
      </c>
    </row>
    <row r="41" spans="1:7" ht="15.75" outlineLevel="2" x14ac:dyDescent="0.25">
      <c r="A41" s="1" t="s">
        <v>18</v>
      </c>
      <c r="B41" s="6" t="s">
        <v>20</v>
      </c>
      <c r="C41" s="1">
        <v>1</v>
      </c>
      <c r="D41" s="1">
        <v>306</v>
      </c>
      <c r="E41" s="1">
        <v>29180</v>
      </c>
      <c r="F41" s="1">
        <f>_xlfn.RANK.EQ(D41,$D$2:$D$102)</f>
        <v>56</v>
      </c>
      <c r="G41" s="1">
        <f>_xlfn.RANK.EQ(E41,$E$2:$E$102)</f>
        <v>30</v>
      </c>
    </row>
    <row r="42" spans="1:7" ht="15.75" outlineLevel="2" x14ac:dyDescent="0.25">
      <c r="A42" s="1" t="s">
        <v>18</v>
      </c>
      <c r="B42" s="6" t="s">
        <v>20</v>
      </c>
      <c r="C42" s="1">
        <v>3</v>
      </c>
      <c r="D42" s="1">
        <v>220</v>
      </c>
      <c r="E42" s="1">
        <v>12990</v>
      </c>
      <c r="F42" s="1">
        <f>_xlfn.RANK.EQ(D42,$D$2:$D$102)</f>
        <v>69</v>
      </c>
      <c r="G42" s="1">
        <f>_xlfn.RANK.EQ(E42,$E$2:$E$102)</f>
        <v>75</v>
      </c>
    </row>
    <row r="43" spans="1:7" outlineLevel="2" x14ac:dyDescent="0.15">
      <c r="A43" s="3" t="s">
        <v>26</v>
      </c>
      <c r="B43" s="7" t="s">
        <v>20</v>
      </c>
      <c r="C43" s="4">
        <v>2</v>
      </c>
      <c r="D43" s="4">
        <v>148</v>
      </c>
      <c r="E43" s="4">
        <v>9078</v>
      </c>
      <c r="F43" s="1">
        <f>_xlfn.RANK.EQ(D43,$D$2:$D$102)</f>
        <v>89</v>
      </c>
      <c r="G43" s="1">
        <f>_xlfn.RANK.EQ(E43,$E$2:$E$102)</f>
        <v>94</v>
      </c>
    </row>
    <row r="44" spans="1:7" outlineLevel="2" x14ac:dyDescent="0.15">
      <c r="A44" s="6" t="s">
        <v>26</v>
      </c>
      <c r="B44" s="1" t="s">
        <v>0</v>
      </c>
      <c r="C44" s="1">
        <v>1</v>
      </c>
      <c r="D44" s="1">
        <v>166</v>
      </c>
      <c r="E44" s="1">
        <v>8765</v>
      </c>
      <c r="F44" s="1">
        <f>_xlfn.RANK.EQ(D44,$D$2:$D$102)</f>
        <v>86</v>
      </c>
      <c r="G44" s="1">
        <f>_xlfn.RANK.EQ(E44,$E$2:$E$102)</f>
        <v>96</v>
      </c>
    </row>
    <row r="45" spans="1:7" outlineLevel="2" x14ac:dyDescent="0.15">
      <c r="A45" s="6" t="s">
        <v>26</v>
      </c>
      <c r="B45" s="1" t="s">
        <v>0</v>
      </c>
      <c r="C45" s="1">
        <v>3</v>
      </c>
      <c r="D45" s="1">
        <v>216</v>
      </c>
      <c r="E45" s="1">
        <v>10238</v>
      </c>
      <c r="F45" s="1">
        <f>_xlfn.RANK.EQ(D45,$D$2:$D$102)</f>
        <v>73</v>
      </c>
      <c r="G45" s="1">
        <f>_xlfn.RANK.EQ(E45,$E$2:$E$102)</f>
        <v>88</v>
      </c>
    </row>
    <row r="46" spans="1:7" outlineLevel="2" x14ac:dyDescent="0.15">
      <c r="A46" s="6" t="s">
        <v>26</v>
      </c>
      <c r="B46" s="1" t="s">
        <v>0</v>
      </c>
      <c r="C46" s="1">
        <v>4</v>
      </c>
      <c r="D46" s="1">
        <v>425</v>
      </c>
      <c r="E46" s="1">
        <v>20563</v>
      </c>
      <c r="F46" s="1">
        <f>_xlfn.RANK.EQ(D46,$D$2:$D$102)</f>
        <v>31</v>
      </c>
      <c r="G46" s="1">
        <f>_xlfn.RANK.EQ(E46,$E$2:$E$102)</f>
        <v>54</v>
      </c>
    </row>
    <row r="47" spans="1:7" outlineLevel="2" x14ac:dyDescent="0.15">
      <c r="A47" s="6" t="s">
        <v>26</v>
      </c>
      <c r="B47" s="1" t="s">
        <v>0</v>
      </c>
      <c r="C47" s="1">
        <v>2</v>
      </c>
      <c r="D47" s="1">
        <v>199</v>
      </c>
      <c r="E47" s="1">
        <v>9675</v>
      </c>
      <c r="F47" s="1">
        <f>_xlfn.RANK.EQ(D47,$D$2:$D$102)</f>
        <v>80</v>
      </c>
      <c r="G47" s="1">
        <f>_xlfn.RANK.EQ(E47,$E$2:$E$102)</f>
        <v>89</v>
      </c>
    </row>
    <row r="48" spans="1:7" ht="15.75" outlineLevel="2" x14ac:dyDescent="0.25">
      <c r="A48" s="1" t="s">
        <v>9</v>
      </c>
      <c r="B48" s="6" t="s">
        <v>11</v>
      </c>
      <c r="C48" s="1">
        <v>2</v>
      </c>
      <c r="D48" s="1">
        <v>321</v>
      </c>
      <c r="E48" s="1">
        <v>9630</v>
      </c>
      <c r="F48" s="1">
        <f>_xlfn.RANK.EQ(D48,$D$2:$D$102)</f>
        <v>53</v>
      </c>
      <c r="G48" s="1">
        <f>_xlfn.RANK.EQ(E48,$E$2:$E$102)</f>
        <v>91</v>
      </c>
    </row>
    <row r="49" spans="1:7" ht="15.75" outlineLevel="2" x14ac:dyDescent="0.25">
      <c r="A49" s="1" t="s">
        <v>18</v>
      </c>
      <c r="B49" s="6" t="s">
        <v>15</v>
      </c>
      <c r="C49" s="1">
        <v>4</v>
      </c>
      <c r="D49" s="1">
        <v>213</v>
      </c>
      <c r="E49" s="1">
        <v>10650</v>
      </c>
      <c r="F49" s="1">
        <f>_xlfn.RANK.EQ(D49,$D$2:$D$102)</f>
        <v>76</v>
      </c>
      <c r="G49" s="1">
        <f>_xlfn.RANK.EQ(E49,$E$2:$E$102)</f>
        <v>85</v>
      </c>
    </row>
    <row r="50" spans="1:7" ht="15.75" outlineLevel="2" x14ac:dyDescent="0.25">
      <c r="A50" s="1" t="s">
        <v>18</v>
      </c>
      <c r="B50" s="6" t="s">
        <v>15</v>
      </c>
      <c r="C50" s="1">
        <v>3</v>
      </c>
      <c r="D50" s="1">
        <v>189</v>
      </c>
      <c r="E50" s="1">
        <v>9450</v>
      </c>
      <c r="F50" s="1">
        <f>_xlfn.RANK.EQ(D50,$D$2:$D$102)</f>
        <v>83</v>
      </c>
      <c r="G50" s="1">
        <f>_xlfn.RANK.EQ(E50,$E$2:$E$102)</f>
        <v>92</v>
      </c>
    </row>
    <row r="51" spans="1:7" ht="15.75" outlineLevel="2" x14ac:dyDescent="0.25">
      <c r="A51" s="1" t="s">
        <v>18</v>
      </c>
      <c r="B51" s="6" t="s">
        <v>15</v>
      </c>
      <c r="C51" s="1">
        <v>1</v>
      </c>
      <c r="D51" s="1">
        <v>301</v>
      </c>
      <c r="E51" s="1">
        <v>15050</v>
      </c>
      <c r="F51" s="1">
        <f>_xlfn.RANK.EQ(D51,$D$2:$D$102)</f>
        <v>58</v>
      </c>
      <c r="G51" s="1">
        <f>_xlfn.RANK.EQ(E51,$E$2:$E$102)</f>
        <v>66</v>
      </c>
    </row>
    <row r="52" spans="1:7" outlineLevel="1" x14ac:dyDescent="0.15">
      <c r="A52" s="2" t="s">
        <v>127</v>
      </c>
      <c r="B52" s="6"/>
      <c r="C52" s="1"/>
      <c r="D52" s="1"/>
      <c r="E52" s="1">
        <f>SUBTOTAL(9,E36:E51)</f>
        <v>243280</v>
      </c>
      <c r="F52" s="1"/>
      <c r="G52" s="1"/>
    </row>
    <row r="53" spans="1:7" outlineLevel="2" x14ac:dyDescent="0.15">
      <c r="A53" s="6" t="s">
        <v>21</v>
      </c>
      <c r="B53" s="6" t="s">
        <v>17</v>
      </c>
      <c r="C53" s="1">
        <v>3</v>
      </c>
      <c r="D53" s="1">
        <v>378</v>
      </c>
      <c r="E53" s="1">
        <v>26460</v>
      </c>
      <c r="F53" s="1">
        <f>_xlfn.RANK.EQ(D53,$D$2:$D$102)</f>
        <v>36</v>
      </c>
      <c r="G53" s="1">
        <f>_xlfn.RANK.EQ(E53,$E$2:$E$102)</f>
        <v>40</v>
      </c>
    </row>
    <row r="54" spans="1:7" outlineLevel="2" x14ac:dyDescent="0.15">
      <c r="A54" s="6" t="s">
        <v>21</v>
      </c>
      <c r="B54" s="6" t="s">
        <v>17</v>
      </c>
      <c r="C54" s="1">
        <v>1</v>
      </c>
      <c r="D54" s="1">
        <v>324</v>
      </c>
      <c r="E54" s="1">
        <v>22680</v>
      </c>
      <c r="F54" s="1">
        <f>_xlfn.RANK.EQ(D54,$D$2:$D$102)</f>
        <v>49</v>
      </c>
      <c r="G54" s="1">
        <f>_xlfn.RANK.EQ(E54,$E$2:$E$102)</f>
        <v>50</v>
      </c>
    </row>
    <row r="55" spans="1:7" outlineLevel="2" x14ac:dyDescent="0.15">
      <c r="A55" s="6" t="s">
        <v>21</v>
      </c>
      <c r="B55" s="6" t="s">
        <v>17</v>
      </c>
      <c r="C55" s="1">
        <v>2</v>
      </c>
      <c r="D55" s="1">
        <v>329</v>
      </c>
      <c r="E55" s="1">
        <v>23030</v>
      </c>
      <c r="F55" s="1">
        <f>_xlfn.RANK.EQ(D55,$D$2:$D$102)</f>
        <v>47</v>
      </c>
      <c r="G55" s="1">
        <f>_xlfn.RANK.EQ(E55,$E$2:$E$102)</f>
        <v>46</v>
      </c>
    </row>
    <row r="56" spans="1:7" outlineLevel="2" x14ac:dyDescent="0.15">
      <c r="A56" s="6" t="s">
        <v>21</v>
      </c>
      <c r="B56" s="6" t="s">
        <v>17</v>
      </c>
      <c r="C56" s="1">
        <v>4</v>
      </c>
      <c r="D56" s="1">
        <v>398</v>
      </c>
      <c r="E56" s="1">
        <v>27860</v>
      </c>
      <c r="F56" s="1">
        <f>_xlfn.RANK.EQ(D56,$D$2:$D$102)</f>
        <v>35</v>
      </c>
      <c r="G56" s="1">
        <f>_xlfn.RANK.EQ(E56,$E$2:$E$102)</f>
        <v>36</v>
      </c>
    </row>
    <row r="57" spans="1:7" outlineLevel="2" x14ac:dyDescent="0.15">
      <c r="A57" s="3" t="s">
        <v>24</v>
      </c>
      <c r="B57" s="7" t="s">
        <v>20</v>
      </c>
      <c r="C57" s="4">
        <v>4</v>
      </c>
      <c r="D57" s="4">
        <v>431</v>
      </c>
      <c r="E57" s="4">
        <v>32534</v>
      </c>
      <c r="F57" s="1">
        <f>_xlfn.RANK.EQ(D57,$D$2:$D$102)</f>
        <v>29</v>
      </c>
      <c r="G57" s="1">
        <f>_xlfn.RANK.EQ(E57,$E$2:$E$102)</f>
        <v>21</v>
      </c>
    </row>
    <row r="58" spans="1:7" outlineLevel="2" x14ac:dyDescent="0.15">
      <c r="A58" s="3" t="s">
        <v>24</v>
      </c>
      <c r="B58" s="7" t="s">
        <v>20</v>
      </c>
      <c r="C58" s="4">
        <v>2</v>
      </c>
      <c r="D58" s="4">
        <v>217</v>
      </c>
      <c r="E58" s="4">
        <v>20453</v>
      </c>
      <c r="F58" s="1">
        <f>_xlfn.RANK.EQ(D58,$D$2:$D$102)</f>
        <v>72</v>
      </c>
      <c r="G58" s="1">
        <f>_xlfn.RANK.EQ(E58,$E$2:$E$102)</f>
        <v>55</v>
      </c>
    </row>
    <row r="59" spans="1:7" outlineLevel="2" x14ac:dyDescent="0.15">
      <c r="A59" s="3" t="s">
        <v>24</v>
      </c>
      <c r="B59" s="7" t="s">
        <v>20</v>
      </c>
      <c r="C59" s="4">
        <v>1</v>
      </c>
      <c r="D59" s="4">
        <v>156</v>
      </c>
      <c r="E59" s="4">
        <v>10786</v>
      </c>
      <c r="F59" s="1">
        <f>_xlfn.RANK.EQ(D59,$D$2:$D$102)</f>
        <v>88</v>
      </c>
      <c r="G59" s="1">
        <f>_xlfn.RANK.EQ(E59,$E$2:$E$102)</f>
        <v>84</v>
      </c>
    </row>
    <row r="60" spans="1:7" outlineLevel="2" x14ac:dyDescent="0.15">
      <c r="A60" s="3" t="s">
        <v>24</v>
      </c>
      <c r="B60" s="7" t="s">
        <v>20</v>
      </c>
      <c r="C60" s="4">
        <v>3</v>
      </c>
      <c r="D60" s="4">
        <v>356</v>
      </c>
      <c r="E60" s="4">
        <v>29342</v>
      </c>
      <c r="F60" s="1">
        <f>_xlfn.RANK.EQ(D60,$D$2:$D$102)</f>
        <v>40</v>
      </c>
      <c r="G60" s="1">
        <f>_xlfn.RANK.EQ(E60,$E$2:$E$102)</f>
        <v>29</v>
      </c>
    </row>
    <row r="61" spans="1:7" outlineLevel="2" x14ac:dyDescent="0.15">
      <c r="A61" s="6" t="s">
        <v>24</v>
      </c>
      <c r="B61" s="1" t="s">
        <v>0</v>
      </c>
      <c r="C61" s="1">
        <v>3</v>
      </c>
      <c r="D61" s="1">
        <v>232</v>
      </c>
      <c r="E61" s="1">
        <v>11298</v>
      </c>
      <c r="F61" s="1">
        <f>_xlfn.RANK.EQ(D61,$D$2:$D$102)</f>
        <v>66</v>
      </c>
      <c r="G61" s="1">
        <f>_xlfn.RANK.EQ(E61,$E$2:$E$102)</f>
        <v>79</v>
      </c>
    </row>
    <row r="62" spans="1:7" outlineLevel="2" x14ac:dyDescent="0.15">
      <c r="A62" s="6" t="s">
        <v>24</v>
      </c>
      <c r="B62" s="1" t="s">
        <v>0</v>
      </c>
      <c r="C62" s="1">
        <v>1</v>
      </c>
      <c r="D62" s="1">
        <v>322</v>
      </c>
      <c r="E62" s="1">
        <v>18976</v>
      </c>
      <c r="F62" s="1">
        <f>_xlfn.RANK.EQ(D62,$D$2:$D$102)</f>
        <v>52</v>
      </c>
      <c r="G62" s="1">
        <f>_xlfn.RANK.EQ(E62,$E$2:$E$102)</f>
        <v>58</v>
      </c>
    </row>
    <row r="63" spans="1:7" outlineLevel="2" x14ac:dyDescent="0.15">
      <c r="A63" s="6" t="s">
        <v>24</v>
      </c>
      <c r="B63" s="1" t="s">
        <v>0</v>
      </c>
      <c r="C63" s="1">
        <v>2</v>
      </c>
      <c r="D63" s="1">
        <v>112</v>
      </c>
      <c r="E63" s="1">
        <v>8798</v>
      </c>
      <c r="F63" s="1">
        <f>_xlfn.RANK.EQ(D63,$D$2:$D$102)</f>
        <v>96</v>
      </c>
      <c r="G63" s="1">
        <f>_xlfn.RANK.EQ(E63,$E$2:$E$102)</f>
        <v>95</v>
      </c>
    </row>
    <row r="64" spans="1:7" outlineLevel="2" x14ac:dyDescent="0.15">
      <c r="A64" s="6" t="s">
        <v>24</v>
      </c>
      <c r="B64" s="1" t="s">
        <v>0</v>
      </c>
      <c r="C64" s="1">
        <v>4</v>
      </c>
      <c r="D64" s="1">
        <v>261</v>
      </c>
      <c r="E64" s="1">
        <v>11675</v>
      </c>
      <c r="F64" s="1">
        <f>_xlfn.RANK.EQ(D64,$D$2:$D$102)</f>
        <v>62</v>
      </c>
      <c r="G64" s="1">
        <f>_xlfn.RANK.EQ(E64,$E$2:$E$102)</f>
        <v>78</v>
      </c>
    </row>
    <row r="65" spans="1:7" outlineLevel="2" x14ac:dyDescent="0.15">
      <c r="A65" s="3" t="s">
        <v>24</v>
      </c>
      <c r="B65" s="7" t="s">
        <v>15</v>
      </c>
      <c r="C65" s="4">
        <v>1</v>
      </c>
      <c r="D65" s="4">
        <v>234</v>
      </c>
      <c r="E65" s="4">
        <v>14321</v>
      </c>
      <c r="F65" s="1">
        <f>_xlfn.RANK.EQ(D65,$D$2:$D$102)</f>
        <v>65</v>
      </c>
      <c r="G65" s="1">
        <f>_xlfn.RANK.EQ(E65,$E$2:$E$102)</f>
        <v>71</v>
      </c>
    </row>
    <row r="66" spans="1:7" outlineLevel="2" x14ac:dyDescent="0.15">
      <c r="A66" s="3" t="s">
        <v>24</v>
      </c>
      <c r="B66" s="7" t="s">
        <v>15</v>
      </c>
      <c r="C66" s="4">
        <v>3</v>
      </c>
      <c r="D66" s="4">
        <v>129</v>
      </c>
      <c r="E66" s="4">
        <v>9637</v>
      </c>
      <c r="F66" s="1">
        <f>_xlfn.RANK.EQ(D66,$D$2:$D$102)</f>
        <v>90</v>
      </c>
      <c r="G66" s="1">
        <f>_xlfn.RANK.EQ(E66,$E$2:$E$102)</f>
        <v>90</v>
      </c>
    </row>
    <row r="67" spans="1:7" outlineLevel="2" x14ac:dyDescent="0.15">
      <c r="A67" s="3" t="s">
        <v>24</v>
      </c>
      <c r="B67" s="7" t="s">
        <v>15</v>
      </c>
      <c r="C67" s="4">
        <v>2</v>
      </c>
      <c r="D67" s="4">
        <v>432</v>
      </c>
      <c r="E67" s="4">
        <v>32256</v>
      </c>
      <c r="F67" s="1">
        <f>_xlfn.RANK.EQ(D67,$D$2:$D$102)</f>
        <v>28</v>
      </c>
      <c r="G67" s="1">
        <f>_xlfn.RANK.EQ(E67,$E$2:$E$102)</f>
        <v>22</v>
      </c>
    </row>
    <row r="68" spans="1:7" outlineLevel="2" x14ac:dyDescent="0.15">
      <c r="A68" s="3" t="s">
        <v>24</v>
      </c>
      <c r="B68" s="7" t="s">
        <v>15</v>
      </c>
      <c r="C68" s="4">
        <v>4</v>
      </c>
      <c r="D68" s="4">
        <v>118</v>
      </c>
      <c r="E68" s="4">
        <v>8178</v>
      </c>
      <c r="F68" s="1">
        <f>_xlfn.RANK.EQ(D68,$D$2:$D$102)</f>
        <v>95</v>
      </c>
      <c r="G68" s="1">
        <f>_xlfn.RANK.EQ(E68,$E$2:$E$102)</f>
        <v>99</v>
      </c>
    </row>
    <row r="69" spans="1:7" outlineLevel="1" x14ac:dyDescent="0.15">
      <c r="A69" s="20" t="s">
        <v>128</v>
      </c>
      <c r="B69" s="7"/>
      <c r="C69" s="4"/>
      <c r="D69" s="4"/>
      <c r="E69" s="4">
        <f>SUBTOTAL(9,E53:E68)</f>
        <v>308284</v>
      </c>
      <c r="F69" s="1"/>
      <c r="G69" s="1"/>
    </row>
    <row r="70" spans="1:7" outlineLevel="2" x14ac:dyDescent="0.15">
      <c r="A70" s="3" t="s">
        <v>27</v>
      </c>
      <c r="B70" s="6" t="s">
        <v>17</v>
      </c>
      <c r="C70" s="1">
        <v>1</v>
      </c>
      <c r="D70" s="1">
        <v>289</v>
      </c>
      <c r="E70" s="1">
        <v>14351</v>
      </c>
      <c r="F70" s="1">
        <f>_xlfn.RANK.EQ(D70,$D$2:$D$102)</f>
        <v>59</v>
      </c>
      <c r="G70" s="1">
        <f>_xlfn.RANK.EQ(E70,$E$2:$E$102)</f>
        <v>69</v>
      </c>
    </row>
    <row r="71" spans="1:7" outlineLevel="2" x14ac:dyDescent="0.15">
      <c r="A71" s="3" t="s">
        <v>13</v>
      </c>
      <c r="B71" s="6" t="s">
        <v>17</v>
      </c>
      <c r="C71" s="1">
        <v>2</v>
      </c>
      <c r="D71" s="1">
        <v>675</v>
      </c>
      <c r="E71" s="1">
        <v>50900</v>
      </c>
      <c r="F71" s="1">
        <f>_xlfn.RANK.EQ(D71,$D$2:$D$102)</f>
        <v>5</v>
      </c>
      <c r="G71" s="1">
        <f>_xlfn.RANK.EQ(E71,$E$2:$E$102)</f>
        <v>9</v>
      </c>
    </row>
    <row r="72" spans="1:7" outlineLevel="2" x14ac:dyDescent="0.15">
      <c r="A72" s="3" t="s">
        <v>13</v>
      </c>
      <c r="B72" s="6" t="s">
        <v>17</v>
      </c>
      <c r="C72" s="1">
        <v>3</v>
      </c>
      <c r="D72" s="1">
        <v>123</v>
      </c>
      <c r="E72" s="1">
        <v>9360</v>
      </c>
      <c r="F72" s="1">
        <f>_xlfn.RANK.EQ(D72,$D$2:$D$102)</f>
        <v>92</v>
      </c>
      <c r="G72" s="1">
        <f>_xlfn.RANK.EQ(E72,$E$2:$E$102)</f>
        <v>93</v>
      </c>
    </row>
    <row r="73" spans="1:7" outlineLevel="2" x14ac:dyDescent="0.15">
      <c r="A73" s="3" t="s">
        <v>13</v>
      </c>
      <c r="B73" s="6" t="s">
        <v>17</v>
      </c>
      <c r="C73" s="1">
        <v>4</v>
      </c>
      <c r="D73" s="1">
        <v>550</v>
      </c>
      <c r="E73" s="1">
        <v>26150</v>
      </c>
      <c r="F73" s="1">
        <f>_xlfn.RANK.EQ(D73,$D$2:$D$102)</f>
        <v>15</v>
      </c>
      <c r="G73" s="1">
        <f>_xlfn.RANK.EQ(E73,$E$2:$E$102)</f>
        <v>41</v>
      </c>
    </row>
    <row r="74" spans="1:7" outlineLevel="2" x14ac:dyDescent="0.15">
      <c r="A74" s="3" t="s">
        <v>13</v>
      </c>
      <c r="B74" s="6" t="s">
        <v>20</v>
      </c>
      <c r="C74" s="1">
        <v>1</v>
      </c>
      <c r="D74" s="1">
        <v>603</v>
      </c>
      <c r="E74" s="1">
        <v>49180</v>
      </c>
      <c r="F74" s="1">
        <f>_xlfn.RANK.EQ(D74,$D$2:$D$102)</f>
        <v>12</v>
      </c>
      <c r="G74" s="1">
        <f>_xlfn.RANK.EQ(E74,$E$2:$E$102)</f>
        <v>10</v>
      </c>
    </row>
    <row r="75" spans="1:7" outlineLevel="2" x14ac:dyDescent="0.15">
      <c r="A75" s="3" t="s">
        <v>13</v>
      </c>
      <c r="B75" s="6" t="s">
        <v>20</v>
      </c>
      <c r="C75" s="1">
        <v>2</v>
      </c>
      <c r="D75" s="1">
        <v>122</v>
      </c>
      <c r="E75" s="1">
        <v>14840</v>
      </c>
      <c r="F75" s="1">
        <f>_xlfn.RANK.EQ(D75,$D$2:$D$102)</f>
        <v>94</v>
      </c>
      <c r="G75" s="1">
        <f>_xlfn.RANK.EQ(E75,$E$2:$E$102)</f>
        <v>67</v>
      </c>
    </row>
    <row r="76" spans="1:7" outlineLevel="2" x14ac:dyDescent="0.15">
      <c r="A76" s="3" t="s">
        <v>13</v>
      </c>
      <c r="B76" s="6" t="s">
        <v>20</v>
      </c>
      <c r="C76" s="1">
        <v>3</v>
      </c>
      <c r="D76" s="1">
        <v>305</v>
      </c>
      <c r="E76" s="1">
        <v>48617</v>
      </c>
      <c r="F76" s="1">
        <f>_xlfn.RANK.EQ(D76,$D$2:$D$102)</f>
        <v>57</v>
      </c>
      <c r="G76" s="1">
        <f>_xlfn.RANK.EQ(E76,$E$2:$E$102)</f>
        <v>12</v>
      </c>
    </row>
    <row r="77" spans="1:7" outlineLevel="2" x14ac:dyDescent="0.15">
      <c r="A77" s="3" t="s">
        <v>13</v>
      </c>
      <c r="B77" s="6" t="s">
        <v>20</v>
      </c>
      <c r="C77" s="1">
        <v>4</v>
      </c>
      <c r="D77" s="1">
        <v>430</v>
      </c>
      <c r="E77" s="1">
        <v>42167</v>
      </c>
      <c r="F77" s="1">
        <f>_xlfn.RANK.EQ(D77,$D$2:$D$102)</f>
        <v>30</v>
      </c>
      <c r="G77" s="1">
        <f>_xlfn.RANK.EQ(E77,$E$2:$E$102)</f>
        <v>15</v>
      </c>
    </row>
    <row r="78" spans="1:7" outlineLevel="2" x14ac:dyDescent="0.15">
      <c r="A78" s="3" t="s">
        <v>13</v>
      </c>
      <c r="B78" s="6" t="s">
        <v>23</v>
      </c>
      <c r="C78" s="1">
        <v>1</v>
      </c>
      <c r="D78" s="1">
        <v>512</v>
      </c>
      <c r="E78" s="1">
        <v>36865</v>
      </c>
      <c r="F78" s="1">
        <f>_xlfn.RANK.EQ(D78,$D$2:$D$102)</f>
        <v>19</v>
      </c>
      <c r="G78" s="1">
        <f>_xlfn.RANK.EQ(E78,$E$2:$E$102)</f>
        <v>18</v>
      </c>
    </row>
    <row r="79" spans="1:7" outlineLevel="2" x14ac:dyDescent="0.15">
      <c r="A79" s="3" t="s">
        <v>13</v>
      </c>
      <c r="B79" s="6" t="s">
        <v>23</v>
      </c>
      <c r="C79" s="1">
        <v>2</v>
      </c>
      <c r="D79" s="1">
        <v>330</v>
      </c>
      <c r="E79" s="1">
        <v>31256</v>
      </c>
      <c r="F79" s="1">
        <f>_xlfn.RANK.EQ(D79,$D$2:$D$102)</f>
        <v>46</v>
      </c>
      <c r="G79" s="1">
        <f>_xlfn.RANK.EQ(E79,$E$2:$E$102)</f>
        <v>24</v>
      </c>
    </row>
    <row r="80" spans="1:7" outlineLevel="2" x14ac:dyDescent="0.15">
      <c r="A80" s="3" t="s">
        <v>13</v>
      </c>
      <c r="B80" s="6" t="s">
        <v>23</v>
      </c>
      <c r="C80" s="1">
        <v>3</v>
      </c>
      <c r="D80" s="1">
        <v>650</v>
      </c>
      <c r="E80" s="1">
        <v>78436</v>
      </c>
      <c r="F80" s="1">
        <f>_xlfn.RANK.EQ(D80,$D$2:$D$102)</f>
        <v>11</v>
      </c>
      <c r="G80" s="1">
        <f>_xlfn.RANK.EQ(E80,$E$2:$E$102)</f>
        <v>6</v>
      </c>
    </row>
    <row r="81" spans="1:7" outlineLevel="2" x14ac:dyDescent="0.15">
      <c r="A81" s="3" t="s">
        <v>13</v>
      </c>
      <c r="B81" s="6" t="s">
        <v>23</v>
      </c>
      <c r="C81" s="1">
        <v>4</v>
      </c>
      <c r="D81" s="1">
        <v>215</v>
      </c>
      <c r="E81" s="1">
        <v>30975</v>
      </c>
      <c r="F81" s="1">
        <f>_xlfn.RANK.EQ(D81,$D$2:$D$102)</f>
        <v>74</v>
      </c>
      <c r="G81" s="1">
        <f>_xlfn.RANK.EQ(E81,$E$2:$E$102)</f>
        <v>25</v>
      </c>
    </row>
    <row r="82" spans="1:7" outlineLevel="2" x14ac:dyDescent="0.15">
      <c r="A82" s="3" t="s">
        <v>27</v>
      </c>
      <c r="B82" s="6" t="s">
        <v>15</v>
      </c>
      <c r="C82" s="1">
        <v>1</v>
      </c>
      <c r="D82" s="1">
        <v>367</v>
      </c>
      <c r="E82" s="1">
        <v>10860</v>
      </c>
      <c r="F82" s="1">
        <f>_xlfn.RANK.EQ(D82,$D$2:$D$102)</f>
        <v>37</v>
      </c>
      <c r="G82" s="1">
        <f>_xlfn.RANK.EQ(E82,$E$2:$E$102)</f>
        <v>83</v>
      </c>
    </row>
    <row r="83" spans="1:7" outlineLevel="2" x14ac:dyDescent="0.15">
      <c r="A83" s="3" t="s">
        <v>13</v>
      </c>
      <c r="B83" s="6" t="s">
        <v>15</v>
      </c>
      <c r="C83" s="1">
        <v>2</v>
      </c>
      <c r="D83" s="1">
        <v>873</v>
      </c>
      <c r="E83" s="1">
        <v>17050</v>
      </c>
      <c r="F83" s="1">
        <f>_xlfn.RANK.EQ(D83,$D$2:$D$102)</f>
        <v>1</v>
      </c>
      <c r="G83" s="1">
        <f>_xlfn.RANK.EQ(E83,$E$2:$E$102)</f>
        <v>62</v>
      </c>
    </row>
    <row r="84" spans="1:7" outlineLevel="2" x14ac:dyDescent="0.15">
      <c r="A84" s="3" t="s">
        <v>13</v>
      </c>
      <c r="B84" s="6" t="s">
        <v>15</v>
      </c>
      <c r="C84" s="1">
        <v>3</v>
      </c>
      <c r="D84" s="1">
        <v>534</v>
      </c>
      <c r="E84" s="1">
        <v>25150</v>
      </c>
      <c r="F84" s="1">
        <f>_xlfn.RANK.EQ(D84,$D$2:$D$102)</f>
        <v>18</v>
      </c>
      <c r="G84" s="1">
        <f>_xlfn.RANK.EQ(E84,$E$2:$E$102)</f>
        <v>42</v>
      </c>
    </row>
    <row r="85" spans="1:7" outlineLevel="2" x14ac:dyDescent="0.15">
      <c r="A85" s="3" t="s">
        <v>13</v>
      </c>
      <c r="B85" s="6" t="s">
        <v>15</v>
      </c>
      <c r="C85" s="1">
        <v>4</v>
      </c>
      <c r="D85" s="1">
        <v>467</v>
      </c>
      <c r="E85" s="1">
        <v>64565</v>
      </c>
      <c r="F85" s="1">
        <f>_xlfn.RANK.EQ(D85,$D$2:$D$102)</f>
        <v>22</v>
      </c>
      <c r="G85" s="1">
        <f>_xlfn.RANK.EQ(E85,$E$2:$E$102)</f>
        <v>7</v>
      </c>
    </row>
    <row r="86" spans="1:7" outlineLevel="1" x14ac:dyDescent="0.15">
      <c r="A86" s="20" t="s">
        <v>129</v>
      </c>
      <c r="B86" s="6"/>
      <c r="C86" s="1"/>
      <c r="D86" s="1"/>
      <c r="E86" s="1">
        <f>SUBTOTAL(9,E70:E85)</f>
        <v>550722</v>
      </c>
      <c r="F86" s="1"/>
      <c r="G86" s="1"/>
    </row>
    <row r="87" spans="1:7" outlineLevel="2" x14ac:dyDescent="0.15">
      <c r="A87" s="3" t="s">
        <v>14</v>
      </c>
      <c r="B87" s="6" t="s">
        <v>17</v>
      </c>
      <c r="C87" s="1">
        <v>1</v>
      </c>
      <c r="D87" s="1">
        <v>325</v>
      </c>
      <c r="E87" s="1">
        <v>18906</v>
      </c>
      <c r="F87" s="1">
        <f>_xlfn.RANK.EQ(D87,$D$2:$D$102)</f>
        <v>48</v>
      </c>
      <c r="G87" s="1">
        <f>_xlfn.RANK.EQ(E87,$E$2:$E$102)</f>
        <v>59</v>
      </c>
    </row>
    <row r="88" spans="1:7" outlineLevel="2" x14ac:dyDescent="0.15">
      <c r="A88" s="3" t="s">
        <v>14</v>
      </c>
      <c r="B88" s="6" t="s">
        <v>17</v>
      </c>
      <c r="C88" s="1">
        <v>2</v>
      </c>
      <c r="D88" s="1">
        <v>308</v>
      </c>
      <c r="E88" s="1">
        <v>31665</v>
      </c>
      <c r="F88" s="1">
        <f>_xlfn.RANK.EQ(D88,$D$2:$D$102)</f>
        <v>55</v>
      </c>
      <c r="G88" s="1">
        <f>_xlfn.RANK.EQ(E88,$E$2:$E$102)</f>
        <v>23</v>
      </c>
    </row>
    <row r="89" spans="1:7" outlineLevel="2" x14ac:dyDescent="0.15">
      <c r="A89" s="3" t="s">
        <v>14</v>
      </c>
      <c r="B89" s="6" t="s">
        <v>17</v>
      </c>
      <c r="C89" s="1">
        <v>3</v>
      </c>
      <c r="D89" s="1">
        <v>401</v>
      </c>
      <c r="E89" s="1">
        <v>39566</v>
      </c>
      <c r="F89" s="1">
        <f>_xlfn.RANK.EQ(D89,$D$2:$D$102)</f>
        <v>34</v>
      </c>
      <c r="G89" s="1">
        <f>_xlfn.RANK.EQ(E89,$E$2:$E$102)</f>
        <v>17</v>
      </c>
    </row>
    <row r="90" spans="1:7" outlineLevel="2" x14ac:dyDescent="0.15">
      <c r="A90" s="3" t="s">
        <v>14</v>
      </c>
      <c r="B90" s="6" t="s">
        <v>17</v>
      </c>
      <c r="C90" s="1">
        <v>4</v>
      </c>
      <c r="D90" s="1">
        <v>509</v>
      </c>
      <c r="E90" s="1">
        <v>48655</v>
      </c>
      <c r="F90" s="1">
        <f>_xlfn.RANK.EQ(D90,$D$2:$D$102)</f>
        <v>20</v>
      </c>
      <c r="G90" s="1">
        <f>_xlfn.RANK.EQ(E90,$E$2:$E$102)</f>
        <v>11</v>
      </c>
    </row>
    <row r="91" spans="1:7" outlineLevel="2" x14ac:dyDescent="0.15">
      <c r="A91" s="3" t="s">
        <v>28</v>
      </c>
      <c r="B91" s="6" t="s">
        <v>20</v>
      </c>
      <c r="C91" s="1">
        <v>1</v>
      </c>
      <c r="D91" s="1">
        <v>214</v>
      </c>
      <c r="E91" s="1">
        <v>28760</v>
      </c>
      <c r="F91" s="1">
        <f>_xlfn.RANK.EQ(D91,$D$2:$D$102)</f>
        <v>75</v>
      </c>
      <c r="G91" s="1">
        <f>_xlfn.RANK.EQ(E91,$E$2:$E$102)</f>
        <v>32</v>
      </c>
    </row>
    <row r="92" spans="1:7" outlineLevel="2" x14ac:dyDescent="0.15">
      <c r="A92" s="3" t="s">
        <v>14</v>
      </c>
      <c r="B92" s="6" t="s">
        <v>20</v>
      </c>
      <c r="C92" s="1">
        <v>2</v>
      </c>
      <c r="D92" s="1">
        <v>456</v>
      </c>
      <c r="E92" s="1">
        <v>12830</v>
      </c>
      <c r="F92" s="1">
        <f>_xlfn.RANK.EQ(D92,$D$2:$D$102)</f>
        <v>24</v>
      </c>
      <c r="G92" s="1">
        <f>_xlfn.RANK.EQ(E92,$E$2:$E$102)</f>
        <v>76</v>
      </c>
    </row>
    <row r="93" spans="1:7" outlineLevel="2" x14ac:dyDescent="0.15">
      <c r="A93" s="3" t="s">
        <v>14</v>
      </c>
      <c r="B93" s="6" t="s">
        <v>20</v>
      </c>
      <c r="C93" s="1">
        <v>3</v>
      </c>
      <c r="D93" s="1">
        <v>190</v>
      </c>
      <c r="E93" s="1">
        <v>29807</v>
      </c>
      <c r="F93" s="1">
        <f>_xlfn.RANK.EQ(D93,$D$2:$D$102)</f>
        <v>82</v>
      </c>
      <c r="G93" s="1">
        <f>_xlfn.RANK.EQ(E93,$E$2:$E$102)</f>
        <v>28</v>
      </c>
    </row>
    <row r="94" spans="1:7" outlineLevel="2" x14ac:dyDescent="0.15">
      <c r="A94" s="3" t="s">
        <v>14</v>
      </c>
      <c r="B94" s="6" t="s">
        <v>20</v>
      </c>
      <c r="C94" s="1">
        <v>4</v>
      </c>
      <c r="D94" s="1">
        <v>280</v>
      </c>
      <c r="E94" s="1">
        <v>28096</v>
      </c>
      <c r="F94" s="1">
        <f>_xlfn.RANK.EQ(D94,$D$2:$D$102)</f>
        <v>61</v>
      </c>
      <c r="G94" s="1">
        <f>_xlfn.RANK.EQ(E94,$E$2:$E$102)</f>
        <v>35</v>
      </c>
    </row>
    <row r="95" spans="1:7" outlineLevel="2" x14ac:dyDescent="0.15">
      <c r="A95" s="3" t="s">
        <v>14</v>
      </c>
      <c r="B95" s="6" t="s">
        <v>23</v>
      </c>
      <c r="C95" s="1">
        <v>1</v>
      </c>
      <c r="D95" s="1">
        <v>659</v>
      </c>
      <c r="E95" s="1">
        <v>28550</v>
      </c>
      <c r="F95" s="1">
        <f>_xlfn.RANK.EQ(D95,$D$2:$D$102)</f>
        <v>6</v>
      </c>
      <c r="G95" s="1">
        <f>_xlfn.RANK.EQ(E95,$E$2:$E$102)</f>
        <v>33</v>
      </c>
    </row>
    <row r="96" spans="1:7" outlineLevel="2" x14ac:dyDescent="0.15">
      <c r="A96" s="3" t="s">
        <v>14</v>
      </c>
      <c r="B96" s="6" t="s">
        <v>23</v>
      </c>
      <c r="C96" s="1">
        <v>2</v>
      </c>
      <c r="D96" s="1">
        <v>565</v>
      </c>
      <c r="E96" s="1">
        <v>19521</v>
      </c>
      <c r="F96" s="1">
        <f>_xlfn.RANK.EQ(D96,$D$2:$D$102)</f>
        <v>14</v>
      </c>
      <c r="G96" s="1">
        <f>_xlfn.RANK.EQ(E96,$E$2:$E$102)</f>
        <v>57</v>
      </c>
    </row>
    <row r="97" spans="1:7" outlineLevel="2" x14ac:dyDescent="0.15">
      <c r="A97" s="3" t="s">
        <v>14</v>
      </c>
      <c r="B97" s="6" t="s">
        <v>23</v>
      </c>
      <c r="C97" s="1">
        <v>3</v>
      </c>
      <c r="D97" s="1">
        <v>656</v>
      </c>
      <c r="E97" s="1">
        <v>22850</v>
      </c>
      <c r="F97" s="1">
        <f>_xlfn.RANK.EQ(D97,$D$2:$D$102)</f>
        <v>7</v>
      </c>
      <c r="G97" s="1">
        <f>_xlfn.RANK.EQ(E97,$E$2:$E$102)</f>
        <v>49</v>
      </c>
    </row>
    <row r="98" spans="1:7" outlineLevel="2" x14ac:dyDescent="0.15">
      <c r="A98" s="3" t="s">
        <v>14</v>
      </c>
      <c r="B98" s="6" t="s">
        <v>23</v>
      </c>
      <c r="C98" s="1">
        <v>4</v>
      </c>
      <c r="D98" s="1">
        <v>789</v>
      </c>
      <c r="E98" s="1">
        <v>26579</v>
      </c>
      <c r="F98" s="1">
        <f>_xlfn.RANK.EQ(D98,$D$2:$D$102)</f>
        <v>3</v>
      </c>
      <c r="G98" s="1">
        <f>_xlfn.RANK.EQ(E98,$E$2:$E$102)</f>
        <v>38</v>
      </c>
    </row>
    <row r="99" spans="1:7" outlineLevel="2" x14ac:dyDescent="0.15">
      <c r="A99" s="3" t="s">
        <v>28</v>
      </c>
      <c r="B99" s="6" t="s">
        <v>15</v>
      </c>
      <c r="C99" s="1">
        <v>1</v>
      </c>
      <c r="D99" s="1">
        <v>653</v>
      </c>
      <c r="E99" s="1">
        <v>50950</v>
      </c>
      <c r="F99" s="1">
        <f>_xlfn.RANK.EQ(D99,$D$2:$D$102)</f>
        <v>10</v>
      </c>
      <c r="G99" s="1">
        <f>_xlfn.RANK.EQ(E99,$E$2:$E$102)</f>
        <v>8</v>
      </c>
    </row>
    <row r="100" spans="1:7" outlineLevel="2" x14ac:dyDescent="0.15">
      <c r="A100" s="3" t="s">
        <v>14</v>
      </c>
      <c r="B100" s="6" t="s">
        <v>15</v>
      </c>
      <c r="C100" s="1">
        <v>2</v>
      </c>
      <c r="D100" s="1">
        <v>465</v>
      </c>
      <c r="E100" s="1">
        <v>22990</v>
      </c>
      <c r="F100" s="1">
        <f>_xlfn.RANK.EQ(D100,$D$2:$D$102)</f>
        <v>23</v>
      </c>
      <c r="G100" s="1">
        <f>_xlfn.RANK.EQ(E100,$E$2:$E$102)</f>
        <v>47</v>
      </c>
    </row>
    <row r="101" spans="1:7" outlineLevel="2" x14ac:dyDescent="0.15">
      <c r="A101" s="3" t="s">
        <v>14</v>
      </c>
      <c r="B101" s="6" t="s">
        <v>15</v>
      </c>
      <c r="C101" s="1">
        <v>3</v>
      </c>
      <c r="D101" s="1">
        <v>498</v>
      </c>
      <c r="E101" s="1">
        <v>21346</v>
      </c>
      <c r="F101" s="1">
        <f>_xlfn.RANK.EQ(D101,$D$2:$D$102)</f>
        <v>21</v>
      </c>
      <c r="G101" s="1">
        <f>_xlfn.RANK.EQ(E101,$E$2:$E$102)</f>
        <v>53</v>
      </c>
    </row>
    <row r="102" spans="1:7" outlineLevel="2" x14ac:dyDescent="0.15">
      <c r="A102" s="3" t="s">
        <v>14</v>
      </c>
      <c r="B102" s="6" t="s">
        <v>15</v>
      </c>
      <c r="C102" s="1">
        <v>4</v>
      </c>
      <c r="D102" s="1">
        <v>832</v>
      </c>
      <c r="E102" s="1">
        <v>45087</v>
      </c>
      <c r="F102" s="1">
        <f>_xlfn.RANK.EQ(D102,$D$2:$D$102)</f>
        <v>2</v>
      </c>
      <c r="G102" s="1">
        <f>_xlfn.RANK.EQ(E102,$E$2:$E$102)</f>
        <v>14</v>
      </c>
    </row>
    <row r="103" spans="1:7" outlineLevel="1" x14ac:dyDescent="0.15">
      <c r="A103" s="23" t="s">
        <v>130</v>
      </c>
      <c r="B103" s="21"/>
      <c r="C103" s="22"/>
      <c r="D103" s="22"/>
      <c r="E103" s="22">
        <f>SUBTOTAL(9,E87:E102)</f>
        <v>476158</v>
      </c>
      <c r="F103" s="22"/>
      <c r="G103" s="22"/>
    </row>
    <row r="104" spans="1:7" x14ac:dyDescent="0.15">
      <c r="A104" s="23" t="s">
        <v>131</v>
      </c>
      <c r="B104" s="21"/>
      <c r="C104" s="22"/>
      <c r="D104" s="22"/>
      <c r="E104" s="22">
        <f>SUBTOTAL(9,E2:E102)</f>
        <v>2217251</v>
      </c>
      <c r="F104" s="22"/>
      <c r="G104" s="22"/>
    </row>
  </sheetData>
  <sortState ref="A2:G97">
    <sortCondition ref="A2:A97"/>
    <sortCondition descending="1" ref="B2:B97"/>
  </sortState>
  <phoneticPr fontId="1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人员情况统计表</vt:lpstr>
      <vt:lpstr>基础工资对照表</vt:lpstr>
      <vt:lpstr>图书销售统计表</vt:lpstr>
    </vt:vector>
  </TitlesOfParts>
  <Company>ysy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ysy</dc:creator>
  <cp:lastModifiedBy>Microsoft</cp:lastModifiedBy>
  <dcterms:created xsi:type="dcterms:W3CDTF">2005-08-24T03:08:06Z</dcterms:created>
  <dcterms:modified xsi:type="dcterms:W3CDTF">2021-04-16T09:01:36Z</dcterms:modified>
</cp:coreProperties>
</file>