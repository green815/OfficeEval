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高校题库制作系统-副本\endfile\ExtractFile\"/>
    </mc:Choice>
  </mc:AlternateContent>
  <bookViews>
    <workbookView xWindow="-90" yWindow="-90" windowWidth="19380" windowHeight="11580"/>
  </bookViews>
  <sheets>
    <sheet name="订单信息" sheetId="5" r:id="rId1"/>
    <sheet name="图书销售情况" sheetId="9" r:id="rId2"/>
  </sheets>
  <definedNames>
    <definedName name="_xlnm._FilterDatabase" localSheetId="1" hidden="1">图书销售情况!$A$5:$G$85</definedName>
    <definedName name="_xlnm.Criteria" localSheetId="1">图书销售情况!$A$1:$G$3</definedName>
    <definedName name="_xlnm.Extract" localSheetId="1">图书销售情况!$I$5:$O$5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5" l="1"/>
  <c r="M6" i="5"/>
  <c r="M7" i="5"/>
  <c r="M4" i="5"/>
  <c r="L7" i="5"/>
  <c r="L6" i="5"/>
  <c r="L5" i="5"/>
  <c r="L4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3" i="5"/>
  <c r="G45" i="9" l="1"/>
  <c r="F45" i="9"/>
  <c r="G61" i="9"/>
  <c r="F61" i="9"/>
  <c r="G85" i="9"/>
  <c r="F85" i="9"/>
  <c r="G77" i="9"/>
  <c r="F77" i="9"/>
  <c r="G33" i="9"/>
  <c r="F33" i="9"/>
  <c r="G65" i="9"/>
  <c r="F65" i="9"/>
  <c r="G69" i="9"/>
  <c r="F69" i="9"/>
  <c r="G49" i="9"/>
  <c r="F49" i="9"/>
  <c r="G44" i="9"/>
  <c r="F44" i="9"/>
  <c r="G81" i="9"/>
  <c r="F81" i="9"/>
  <c r="G80" i="9"/>
  <c r="F80" i="9"/>
  <c r="G84" i="9"/>
  <c r="F84" i="9"/>
  <c r="G64" i="9"/>
  <c r="F64" i="9"/>
  <c r="G63" i="9"/>
  <c r="F63" i="9"/>
  <c r="G41" i="9"/>
  <c r="F41" i="9"/>
  <c r="G76" i="9"/>
  <c r="F76" i="9"/>
  <c r="G79" i="9"/>
  <c r="F79" i="9"/>
  <c r="G53" i="9"/>
  <c r="F53" i="9"/>
  <c r="G75" i="9"/>
  <c r="F75" i="9"/>
  <c r="G74" i="9"/>
  <c r="F74" i="9"/>
  <c r="G40" i="9"/>
  <c r="F40" i="9"/>
  <c r="G32" i="9"/>
  <c r="F32" i="9"/>
  <c r="G68" i="9"/>
  <c r="F68" i="9"/>
  <c r="G67" i="9"/>
  <c r="F67" i="9"/>
  <c r="G43" i="9"/>
  <c r="F43" i="9"/>
  <c r="G48" i="9"/>
  <c r="F48" i="9"/>
  <c r="G25" i="9"/>
  <c r="F25" i="9"/>
  <c r="G29" i="9"/>
  <c r="F29" i="9"/>
  <c r="G83" i="9"/>
  <c r="F83" i="9"/>
  <c r="G73" i="9"/>
  <c r="F73" i="9"/>
  <c r="G28" i="9"/>
  <c r="F28" i="9"/>
  <c r="G31" i="9"/>
  <c r="F31" i="9"/>
  <c r="G78" i="9"/>
  <c r="F78" i="9"/>
  <c r="G72" i="9"/>
  <c r="F72" i="9"/>
  <c r="G27" i="9"/>
  <c r="F27" i="9"/>
  <c r="G26" i="9"/>
  <c r="F26" i="9"/>
  <c r="G21" i="9"/>
  <c r="F21" i="9"/>
  <c r="G66" i="9"/>
  <c r="F66" i="9"/>
  <c r="G42" i="9"/>
  <c r="F42" i="9"/>
  <c r="G39" i="9"/>
  <c r="F39" i="9"/>
  <c r="G17" i="9"/>
  <c r="F17" i="9"/>
  <c r="G52" i="9"/>
  <c r="F52" i="9"/>
  <c r="G62" i="9"/>
  <c r="F62" i="9"/>
  <c r="G13" i="9"/>
  <c r="F13" i="9"/>
  <c r="G71" i="9"/>
  <c r="F71" i="9"/>
  <c r="G24" i="9"/>
  <c r="F24" i="9"/>
  <c r="G37" i="9"/>
  <c r="F37" i="9"/>
  <c r="G20" i="9"/>
  <c r="F20" i="9"/>
  <c r="G36" i="9"/>
  <c r="F36" i="9"/>
  <c r="G57" i="9"/>
  <c r="F57" i="9"/>
  <c r="G16" i="9"/>
  <c r="F16" i="9"/>
  <c r="G60" i="9"/>
  <c r="F60" i="9"/>
  <c r="G9" i="9"/>
  <c r="F9" i="9"/>
  <c r="G30" i="9"/>
  <c r="F30" i="9"/>
  <c r="G23" i="9"/>
  <c r="F23" i="9"/>
  <c r="G15" i="9"/>
  <c r="F15" i="9"/>
  <c r="G8" i="9"/>
  <c r="F8" i="9"/>
  <c r="G35" i="9"/>
  <c r="F35" i="9"/>
  <c r="G14" i="9"/>
  <c r="F14" i="9"/>
  <c r="G59" i="9"/>
  <c r="F59" i="9"/>
  <c r="G34" i="9"/>
  <c r="F34" i="9"/>
  <c r="G70" i="9"/>
  <c r="F70" i="9"/>
  <c r="G22" i="9"/>
  <c r="F22" i="9"/>
  <c r="G47" i="9"/>
  <c r="F47" i="9"/>
  <c r="G51" i="9"/>
  <c r="F51" i="9"/>
  <c r="G56" i="9"/>
  <c r="F56" i="9"/>
  <c r="G82" i="9"/>
  <c r="F82" i="9"/>
  <c r="G12" i="9"/>
  <c r="F12" i="9"/>
  <c r="G7" i="9"/>
  <c r="F7" i="9"/>
  <c r="G19" i="9"/>
  <c r="F19" i="9"/>
  <c r="G50" i="9"/>
  <c r="F50" i="9"/>
  <c r="G38" i="9"/>
  <c r="F38" i="9"/>
  <c r="G46" i="9"/>
  <c r="F46" i="9"/>
  <c r="G55" i="9"/>
  <c r="F55" i="9"/>
  <c r="G11" i="9"/>
  <c r="F11" i="9"/>
  <c r="G18" i="9"/>
  <c r="F18" i="9"/>
  <c r="G6" i="9"/>
  <c r="F6" i="9"/>
  <c r="G58" i="9"/>
  <c r="F58" i="9"/>
  <c r="G10" i="9"/>
  <c r="F10" i="9"/>
  <c r="G54" i="9"/>
  <c r="F54" i="9"/>
</calcChain>
</file>

<file path=xl/sharedStrings.xml><?xml version="1.0" encoding="utf-8"?>
<sst xmlns="http://schemas.openxmlformats.org/spreadsheetml/2006/main" count="332" uniqueCount="43">
  <si>
    <t>已完成</t>
  </si>
  <si>
    <t>已取消</t>
  </si>
  <si>
    <t>处理中</t>
  </si>
  <si>
    <t>订单编号</t>
  </si>
  <si>
    <t>商品费用</t>
  </si>
  <si>
    <t>运费</t>
  </si>
  <si>
    <t>订单费用</t>
  </si>
  <si>
    <t>订单邮寄日期</t>
  </si>
  <si>
    <t>订单状态</t>
  </si>
  <si>
    <t>季度</t>
    <phoneticPr fontId="1" type="noConversion"/>
  </si>
  <si>
    <t>2022年订单信息</t>
    <phoneticPr fontId="1" type="noConversion"/>
  </si>
  <si>
    <t>月份</t>
    <phoneticPr fontId="1" type="noConversion"/>
  </si>
  <si>
    <t>占比</t>
    <phoneticPr fontId="1" type="noConversion"/>
  </si>
  <si>
    <t>一季度</t>
    <phoneticPr fontId="1" type="noConversion"/>
  </si>
  <si>
    <t>二季度</t>
    <phoneticPr fontId="1" type="noConversion"/>
  </si>
  <si>
    <t>三季度</t>
    <phoneticPr fontId="1" type="noConversion"/>
  </si>
  <si>
    <t>四季度</t>
    <phoneticPr fontId="1" type="noConversion"/>
  </si>
  <si>
    <t>经销部门</t>
  </si>
  <si>
    <t>图书类别</t>
  </si>
  <si>
    <t>季度</t>
  </si>
  <si>
    <t>销售数量(册)</t>
  </si>
  <si>
    <t>销售额(元)</t>
  </si>
  <si>
    <t>销售数量排名</t>
  </si>
  <si>
    <t>销售额排名</t>
  </si>
  <si>
    <t>第1分部</t>
  </si>
  <si>
    <t>交通科学</t>
  </si>
  <si>
    <t>第2分部</t>
  </si>
  <si>
    <t>信息技术</t>
    <phoneticPr fontId="2" type="noConversion"/>
  </si>
  <si>
    <t>第4分部</t>
  </si>
  <si>
    <r>
      <t>第</t>
    </r>
    <r>
      <rPr>
        <sz val="12"/>
        <rFont val="Times New Roman"/>
        <family val="1"/>
      </rPr>
      <t>2分部</t>
    </r>
    <r>
      <rPr>
        <sz val="12"/>
        <rFont val="宋体"/>
        <family val="3"/>
        <charset val="134"/>
      </rPr>
      <t/>
    </r>
  </si>
  <si>
    <r>
      <t>第</t>
    </r>
    <r>
      <rPr>
        <sz val="12"/>
        <rFont val="Times New Roman"/>
        <family val="1"/>
      </rPr>
      <t>3</t>
    </r>
    <r>
      <rPr>
        <sz val="12"/>
        <rFont val="宋体"/>
        <family val="3"/>
        <charset val="134"/>
      </rPr>
      <t>分部</t>
    </r>
  </si>
  <si>
    <t>农业科学</t>
  </si>
  <si>
    <r>
      <t>第</t>
    </r>
    <r>
      <rPr>
        <sz val="12"/>
        <rFont val="Times New Roman"/>
        <family val="1"/>
      </rPr>
      <t>1</t>
    </r>
    <r>
      <rPr>
        <sz val="12"/>
        <rFont val="宋体"/>
        <family val="3"/>
        <charset val="134"/>
      </rPr>
      <t>分部</t>
    </r>
  </si>
  <si>
    <t>工业技术</t>
  </si>
  <si>
    <t>生物科学</t>
  </si>
  <si>
    <t>第3分部</t>
  </si>
  <si>
    <t>第1分部</t>
    <phoneticPr fontId="2" type="noConversion"/>
  </si>
  <si>
    <r>
      <t>第</t>
    </r>
    <r>
      <rPr>
        <sz val="12"/>
        <rFont val="Times New Roman"/>
        <family val="1"/>
      </rPr>
      <t>2</t>
    </r>
    <r>
      <rPr>
        <sz val="12"/>
        <rFont val="宋体"/>
        <family val="3"/>
        <charset val="134"/>
      </rPr>
      <t>分部</t>
    </r>
  </si>
  <si>
    <t>费用排名</t>
    <phoneticPr fontId="1" type="noConversion"/>
  </si>
  <si>
    <t>订单费用小计</t>
    <phoneticPr fontId="1" type="noConversion"/>
  </si>
  <si>
    <t>图书类别</t>
    <phoneticPr fontId="1" type="noConversion"/>
  </si>
  <si>
    <t>信息技术</t>
  </si>
  <si>
    <t>&lt;=30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</si>
</sst>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m/d;@"/>
    <numFmt numFmtId="177" formatCode="0.00_ "/>
  </numFmts>
  <fonts count="1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12"/>
      <color theme="1"/>
      <name val="等线"/>
      <family val="2"/>
      <scheme val="minor"/>
    </font>
    <font>
      <sz val="12"/>
      <name val="等线"/>
      <family val="2"/>
      <scheme val="minor"/>
    </font>
    <font>
      <sz val="12"/>
      <name val="等线"/>
      <family val="3"/>
      <charset val="134"/>
      <scheme val="minor"/>
    </font>
    <font>
      <sz val="12"/>
      <name val="Times New Roman"/>
      <family val="1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176" fontId="0" fillId="0" borderId="0" xfId="0" applyNumberFormat="1">
      <alignment vertical="center"/>
    </xf>
    <xf numFmtId="10" fontId="0" fillId="0" borderId="0" xfId="1" applyNumberFormat="1" applyFont="1">
      <alignment vertical="center"/>
    </xf>
    <xf numFmtId="0" fontId="4" fillId="0" borderId="1" xfId="0" applyFont="1" applyBorder="1" applyAlignment="1"/>
    <xf numFmtId="0" fontId="0" fillId="0" borderId="0" xfId="0" applyAlignment="1"/>
    <xf numFmtId="0" fontId="5" fillId="0" borderId="1" xfId="0" applyFont="1" applyBorder="1" applyAlignment="1"/>
    <xf numFmtId="0" fontId="6" fillId="0" borderId="1" xfId="0" applyFont="1" applyBorder="1" applyAlignment="1"/>
    <xf numFmtId="0" fontId="7" fillId="0" borderId="1" xfId="0" applyFont="1" applyBorder="1" applyAlignment="1"/>
    <xf numFmtId="0" fontId="8" fillId="0" borderId="1" xfId="0" applyFont="1" applyBorder="1" applyAlignment="1"/>
    <xf numFmtId="0" fontId="10" fillId="0" borderId="0" xfId="0" applyFont="1" applyAlignment="1"/>
    <xf numFmtId="0" fontId="11" fillId="0" borderId="0" xfId="0" applyFont="1" applyAlignment="1"/>
    <xf numFmtId="177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2">
    <cellStyle name="百分比" xfId="1" builtinId="5"/>
    <cellStyle name="常规" xfId="0" builtinId="0"/>
  </cellStyles>
  <dxfs count="3">
    <dxf>
      <numFmt numFmtId="0" formatCode="General"/>
    </dxf>
    <dxf>
      <numFmt numFmtId="176" formatCode="m/d;@"/>
    </dxf>
    <dxf>
      <numFmt numFmtId="177" formatCode="0.0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2022</a:t>
            </a:r>
            <a:r>
              <a:rPr lang="zh-CN"/>
              <a:t>年各季度销售情况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订单信息!$L$3</c:f>
              <c:strCache>
                <c:ptCount val="1"/>
                <c:pt idx="0">
                  <c:v>订单费用小计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订单信息!$K$4:$K$7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订单信息!$L$4:$L$7</c:f>
              <c:numCache>
                <c:formatCode>General</c:formatCode>
                <c:ptCount val="4"/>
                <c:pt idx="0">
                  <c:v>2812.05</c:v>
                </c:pt>
                <c:pt idx="1">
                  <c:v>3336.8100000000004</c:v>
                </c:pt>
                <c:pt idx="2">
                  <c:v>2334.88</c:v>
                </c:pt>
                <c:pt idx="3">
                  <c:v>4399.2499999999991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6C-4118-9F9A-10DDCAF73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5068208"/>
        <c:axId val="575060232"/>
      </c:barChart>
      <c:lineChart>
        <c:grouping val="standard"/>
        <c:varyColors val="0"/>
        <c:ser>
          <c:idx val="1"/>
          <c:order val="1"/>
          <c:tx>
            <c:strRef>
              <c:f>订单信息!$M$3</c:f>
              <c:strCache>
                <c:ptCount val="1"/>
                <c:pt idx="0">
                  <c:v>占比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订单信息!$K$4:$K$7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订单信息!$M$4:$M$7</c:f>
              <c:numCache>
                <c:formatCode>0.00%</c:formatCode>
                <c:ptCount val="4"/>
                <c:pt idx="0">
                  <c:v>0.21827619209515814</c:v>
                </c:pt>
                <c:pt idx="1">
                  <c:v>0.25900897229602771</c:v>
                </c:pt>
                <c:pt idx="2">
                  <c:v>0.18123743013073837</c:v>
                </c:pt>
                <c:pt idx="3">
                  <c:v>0.3414774054780762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6C-4118-9F9A-10DDCAF73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2329880"/>
        <c:axId val="682329552"/>
      </c:lineChart>
      <c:catAx>
        <c:axId val="57506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5060232"/>
        <c:crossesAt val="10"/>
        <c:auto val="1"/>
        <c:lblAlgn val="ctr"/>
        <c:lblOffset val="100"/>
        <c:noMultiLvlLbl val="0"/>
      </c:catAx>
      <c:valAx>
        <c:axId val="575060232"/>
        <c:scaling>
          <c:orientation val="minMax"/>
          <c:max val="4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5068208"/>
        <c:crosses val="autoZero"/>
        <c:crossBetween val="between"/>
        <c:majorUnit val="500"/>
        <c:minorUnit val="50"/>
      </c:valAx>
      <c:valAx>
        <c:axId val="682329552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82329880"/>
        <c:crosses val="max"/>
        <c:crossBetween val="between"/>
      </c:valAx>
      <c:catAx>
        <c:axId val="6823298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823295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80961</xdr:colOff>
      <xdr:row>8</xdr:row>
      <xdr:rowOff>76200</xdr:rowOff>
    </xdr:from>
    <xdr:to>
      <xdr:col>16</xdr:col>
      <xdr:colOff>619124</xdr:colOff>
      <xdr:row>22</xdr:row>
      <xdr:rowOff>142875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表1" displayName="表1" ref="A2:I109" totalsRowShown="0">
  <autoFilter ref="A2:I109"/>
  <tableColumns count="9">
    <tableColumn id="1" name="订单编号"/>
    <tableColumn id="2" name="商品费用"/>
    <tableColumn id="3" name="运费"/>
    <tableColumn id="4" name="订单费用" dataDxfId="2">
      <calculatedColumnFormula>B3+C3</calculatedColumnFormula>
    </tableColumn>
    <tableColumn id="5" name="订单状态"/>
    <tableColumn id="6" name="订单邮寄日期" dataDxfId="1"/>
    <tableColumn id="7" name="月份" dataDxfId="0">
      <calculatedColumnFormula>MONTH(F3)</calculatedColumnFormula>
    </tableColumn>
    <tableColumn id="8" name="季度">
      <calculatedColumnFormula>ROUNDUP(G3/3,0)</calculatedColumnFormula>
    </tableColumn>
    <tableColumn id="9" name="费用排名">
      <calculatedColumnFormula>_xlfn.RANK.EQ(D3,$D$3:$D$109,0)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9"/>
  <sheetViews>
    <sheetView tabSelected="1" workbookViewId="0">
      <selection activeCell="C10" sqref="C10"/>
    </sheetView>
  </sheetViews>
  <sheetFormatPr defaultRowHeight="14.25" x14ac:dyDescent="0.2"/>
  <cols>
    <col min="1" max="2" width="10.25" customWidth="1"/>
    <col min="4" max="5" width="10.25" customWidth="1"/>
    <col min="6" max="6" width="14" style="1" customWidth="1"/>
    <col min="7" max="7" width="9" style="12"/>
    <col min="9" max="9" width="10.25" customWidth="1"/>
    <col min="12" max="12" width="12.5" bestFit="1" customWidth="1"/>
  </cols>
  <sheetData>
    <row r="1" spans="1:13" x14ac:dyDescent="0.2">
      <c r="A1" s="13" t="s">
        <v>10</v>
      </c>
      <c r="B1" s="13"/>
      <c r="C1" s="13"/>
      <c r="D1" s="13"/>
      <c r="E1" s="13"/>
      <c r="F1" s="13"/>
      <c r="G1" s="13"/>
      <c r="H1" s="13"/>
      <c r="I1" s="13"/>
    </row>
    <row r="2" spans="1:13" x14ac:dyDescent="0.2">
      <c r="A2" t="s">
        <v>3</v>
      </c>
      <c r="B2" t="s">
        <v>4</v>
      </c>
      <c r="C2" t="s">
        <v>5</v>
      </c>
      <c r="D2" t="s">
        <v>6</v>
      </c>
      <c r="E2" t="s">
        <v>8</v>
      </c>
      <c r="F2" s="1" t="s">
        <v>7</v>
      </c>
      <c r="G2" s="12" t="s">
        <v>11</v>
      </c>
      <c r="H2" t="s">
        <v>9</v>
      </c>
      <c r="I2" t="s">
        <v>38</v>
      </c>
    </row>
    <row r="3" spans="1:13" x14ac:dyDescent="0.2">
      <c r="A3">
        <v>1728</v>
      </c>
      <c r="B3">
        <v>560</v>
      </c>
      <c r="C3">
        <v>17.87</v>
      </c>
      <c r="D3" s="11">
        <f>B3+C3</f>
        <v>577.87</v>
      </c>
      <c r="E3" t="s">
        <v>0</v>
      </c>
      <c r="F3" s="1">
        <v>44922</v>
      </c>
      <c r="G3" s="12">
        <f>MONTH(F3)</f>
        <v>12</v>
      </c>
      <c r="H3">
        <f>ROUNDUP(G3/3,0)</f>
        <v>4</v>
      </c>
      <c r="I3">
        <f>_xlfn.RANK.EQ(D3,$D$3:$D$109,0)</f>
        <v>2</v>
      </c>
      <c r="K3" t="s">
        <v>9</v>
      </c>
      <c r="L3" t="s">
        <v>39</v>
      </c>
      <c r="M3" t="s">
        <v>12</v>
      </c>
    </row>
    <row r="4" spans="1:13" x14ac:dyDescent="0.2">
      <c r="A4">
        <v>8444</v>
      </c>
      <c r="B4">
        <v>31.3</v>
      </c>
      <c r="C4">
        <v>17.87</v>
      </c>
      <c r="D4" s="11">
        <f t="shared" ref="D4:D67" si="0">B4+C4</f>
        <v>49.17</v>
      </c>
      <c r="E4" t="s">
        <v>0</v>
      </c>
      <c r="F4" s="1">
        <v>44922</v>
      </c>
      <c r="G4" s="12">
        <f t="shared" ref="G4:G67" si="1">MONTH(F4)</f>
        <v>12</v>
      </c>
      <c r="H4">
        <f t="shared" ref="H4:H67" si="2">ROUNDUP(G4/3,0)</f>
        <v>4</v>
      </c>
      <c r="I4">
        <f t="shared" ref="I4:I67" si="3">_xlfn.RANK.EQ(D4,$D$3:$D$109,0)</f>
        <v>71</v>
      </c>
      <c r="K4" t="s">
        <v>13</v>
      </c>
      <c r="L4">
        <f>SUMIF(H3:H109,1,D3:D109)</f>
        <v>2812.05</v>
      </c>
      <c r="M4" s="2">
        <f>L4/SUM($D$3:$D$109)</f>
        <v>0.21827619209515814</v>
      </c>
    </row>
    <row r="5" spans="1:13" x14ac:dyDescent="0.2">
      <c r="A5">
        <v>2071</v>
      </c>
      <c r="B5">
        <v>33.33</v>
      </c>
      <c r="C5">
        <v>5.66</v>
      </c>
      <c r="D5" s="11">
        <f t="shared" si="0"/>
        <v>38.989999999999995</v>
      </c>
      <c r="E5" t="s">
        <v>0</v>
      </c>
      <c r="F5" s="1">
        <v>44922</v>
      </c>
      <c r="G5" s="12">
        <f t="shared" si="1"/>
        <v>12</v>
      </c>
      <c r="H5">
        <f t="shared" si="2"/>
        <v>4</v>
      </c>
      <c r="I5">
        <f t="shared" si="3"/>
        <v>81</v>
      </c>
      <c r="K5" t="s">
        <v>14</v>
      </c>
      <c r="L5">
        <f>SUMIF(H3:H109,2,D3:D109)</f>
        <v>3336.8100000000004</v>
      </c>
      <c r="M5" s="2">
        <f t="shared" ref="M5:M7" si="4">L5/SUM($D$3:$D$109)</f>
        <v>0.25900897229602771</v>
      </c>
    </row>
    <row r="6" spans="1:13" x14ac:dyDescent="0.2">
      <c r="A6">
        <v>2231</v>
      </c>
      <c r="B6">
        <v>197.81</v>
      </c>
      <c r="C6">
        <v>9</v>
      </c>
      <c r="D6" s="11">
        <f t="shared" si="0"/>
        <v>206.81</v>
      </c>
      <c r="E6" t="s">
        <v>0</v>
      </c>
      <c r="F6" s="1">
        <v>44920</v>
      </c>
      <c r="G6" s="12">
        <f t="shared" si="1"/>
        <v>12</v>
      </c>
      <c r="H6">
        <f t="shared" si="2"/>
        <v>4</v>
      </c>
      <c r="I6">
        <f t="shared" si="3"/>
        <v>24</v>
      </c>
      <c r="K6" t="s">
        <v>15</v>
      </c>
      <c r="L6">
        <f>SUMIF(H3:H109,3,D3:D109)</f>
        <v>2334.88</v>
      </c>
      <c r="M6" s="2">
        <f t="shared" si="4"/>
        <v>0.18123743013073837</v>
      </c>
    </row>
    <row r="7" spans="1:13" x14ac:dyDescent="0.2">
      <c r="A7">
        <v>1685</v>
      </c>
      <c r="B7">
        <v>45.77</v>
      </c>
      <c r="C7">
        <v>11.45</v>
      </c>
      <c r="D7" s="11">
        <f t="shared" si="0"/>
        <v>57.22</v>
      </c>
      <c r="E7" t="s">
        <v>2</v>
      </c>
      <c r="F7" s="1">
        <v>44920</v>
      </c>
      <c r="G7" s="12">
        <f t="shared" si="1"/>
        <v>12</v>
      </c>
      <c r="H7">
        <f t="shared" si="2"/>
        <v>4</v>
      </c>
      <c r="I7">
        <f t="shared" si="3"/>
        <v>65</v>
      </c>
      <c r="K7" t="s">
        <v>16</v>
      </c>
      <c r="L7">
        <f>SUMIF(H3:H109,4,D3:D109)</f>
        <v>4399.2499999999991</v>
      </c>
      <c r="M7" s="2">
        <f t="shared" si="4"/>
        <v>0.3414774054780762</v>
      </c>
    </row>
    <row r="8" spans="1:13" x14ac:dyDescent="0.2">
      <c r="A8">
        <v>139</v>
      </c>
      <c r="B8">
        <v>10.11</v>
      </c>
      <c r="C8">
        <v>24.08</v>
      </c>
      <c r="D8" s="11">
        <f t="shared" si="0"/>
        <v>34.19</v>
      </c>
      <c r="E8" t="s">
        <v>0</v>
      </c>
      <c r="F8" s="1">
        <v>44915</v>
      </c>
      <c r="G8" s="12">
        <f t="shared" si="1"/>
        <v>12</v>
      </c>
      <c r="H8">
        <f t="shared" si="2"/>
        <v>4</v>
      </c>
      <c r="I8">
        <f t="shared" si="3"/>
        <v>89</v>
      </c>
    </row>
    <row r="9" spans="1:13" x14ac:dyDescent="0.2">
      <c r="A9">
        <v>421</v>
      </c>
      <c r="B9">
        <v>224.71</v>
      </c>
      <c r="C9">
        <v>22.77</v>
      </c>
      <c r="D9" s="11">
        <f t="shared" si="0"/>
        <v>247.48000000000002</v>
      </c>
      <c r="E9" t="s">
        <v>0</v>
      </c>
      <c r="F9" s="1">
        <v>44915</v>
      </c>
      <c r="G9" s="12">
        <f t="shared" si="1"/>
        <v>12</v>
      </c>
      <c r="H9">
        <f t="shared" si="2"/>
        <v>4</v>
      </c>
      <c r="I9">
        <f t="shared" si="3"/>
        <v>14</v>
      </c>
    </row>
    <row r="10" spans="1:13" x14ac:dyDescent="0.2">
      <c r="A10">
        <v>601</v>
      </c>
      <c r="B10">
        <v>28.95</v>
      </c>
      <c r="C10">
        <v>33.85</v>
      </c>
      <c r="D10" s="11">
        <f t="shared" si="0"/>
        <v>62.8</v>
      </c>
      <c r="E10" t="s">
        <v>0</v>
      </c>
      <c r="F10" s="1">
        <v>44915</v>
      </c>
      <c r="G10" s="12">
        <f t="shared" si="1"/>
        <v>12</v>
      </c>
      <c r="H10">
        <f t="shared" si="2"/>
        <v>4</v>
      </c>
      <c r="I10">
        <f t="shared" si="3"/>
        <v>54</v>
      </c>
    </row>
    <row r="11" spans="1:13" x14ac:dyDescent="0.2">
      <c r="A11">
        <v>1566</v>
      </c>
      <c r="B11">
        <v>190.12</v>
      </c>
      <c r="C11">
        <v>6.37</v>
      </c>
      <c r="D11" s="11">
        <f t="shared" si="0"/>
        <v>196.49</v>
      </c>
      <c r="E11" t="s">
        <v>0</v>
      </c>
      <c r="F11" s="1">
        <v>44915</v>
      </c>
      <c r="G11" s="12">
        <f t="shared" si="1"/>
        <v>12</v>
      </c>
      <c r="H11">
        <f t="shared" si="2"/>
        <v>4</v>
      </c>
      <c r="I11">
        <f t="shared" si="3"/>
        <v>26</v>
      </c>
    </row>
    <row r="12" spans="1:13" x14ac:dyDescent="0.2">
      <c r="A12">
        <v>5317</v>
      </c>
      <c r="B12">
        <v>235.6</v>
      </c>
      <c r="C12">
        <v>5.85</v>
      </c>
      <c r="D12" s="11">
        <f t="shared" si="0"/>
        <v>241.45</v>
      </c>
      <c r="E12" t="s">
        <v>0</v>
      </c>
      <c r="F12" s="1">
        <v>44914</v>
      </c>
      <c r="G12" s="12">
        <f t="shared" si="1"/>
        <v>12</v>
      </c>
      <c r="H12">
        <f t="shared" si="2"/>
        <v>4</v>
      </c>
      <c r="I12">
        <f t="shared" si="3"/>
        <v>17</v>
      </c>
    </row>
    <row r="13" spans="1:13" x14ac:dyDescent="0.2">
      <c r="A13">
        <v>3586</v>
      </c>
      <c r="B13">
        <v>270.16000000000003</v>
      </c>
      <c r="C13">
        <v>11.45</v>
      </c>
      <c r="D13" s="11">
        <f t="shared" si="0"/>
        <v>281.61</v>
      </c>
      <c r="E13" t="s">
        <v>0</v>
      </c>
      <c r="F13" s="1">
        <v>44914</v>
      </c>
      <c r="G13" s="12">
        <f t="shared" si="1"/>
        <v>12</v>
      </c>
      <c r="H13">
        <f t="shared" si="2"/>
        <v>4</v>
      </c>
      <c r="I13">
        <f t="shared" si="3"/>
        <v>8</v>
      </c>
    </row>
    <row r="14" spans="1:13" x14ac:dyDescent="0.2">
      <c r="A14">
        <v>7943</v>
      </c>
      <c r="B14">
        <v>46.92</v>
      </c>
      <c r="C14">
        <v>21.97</v>
      </c>
      <c r="D14" s="11">
        <f t="shared" si="0"/>
        <v>68.89</v>
      </c>
      <c r="E14" t="s">
        <v>0</v>
      </c>
      <c r="F14" s="1">
        <v>44911</v>
      </c>
      <c r="G14" s="12">
        <f t="shared" si="1"/>
        <v>12</v>
      </c>
      <c r="H14">
        <f t="shared" si="2"/>
        <v>4</v>
      </c>
      <c r="I14">
        <f t="shared" si="3"/>
        <v>50</v>
      </c>
    </row>
    <row r="15" spans="1:13" x14ac:dyDescent="0.2">
      <c r="A15">
        <v>7953</v>
      </c>
      <c r="B15">
        <v>50</v>
      </c>
      <c r="C15">
        <v>8.23</v>
      </c>
      <c r="D15" s="11">
        <f t="shared" si="0"/>
        <v>58.230000000000004</v>
      </c>
      <c r="E15" t="s">
        <v>0</v>
      </c>
      <c r="F15" s="1">
        <v>44911</v>
      </c>
      <c r="G15" s="12">
        <f t="shared" si="1"/>
        <v>12</v>
      </c>
      <c r="H15">
        <f t="shared" si="2"/>
        <v>4</v>
      </c>
      <c r="I15">
        <f t="shared" si="3"/>
        <v>61</v>
      </c>
    </row>
    <row r="16" spans="1:13" x14ac:dyDescent="0.2">
      <c r="A16">
        <v>3363</v>
      </c>
      <c r="B16">
        <v>173.62</v>
      </c>
      <c r="C16">
        <v>68.569999999999993</v>
      </c>
      <c r="D16" s="11">
        <f t="shared" si="0"/>
        <v>242.19</v>
      </c>
      <c r="E16" t="s">
        <v>0</v>
      </c>
      <c r="F16" s="1">
        <v>44910</v>
      </c>
      <c r="G16" s="12">
        <f t="shared" si="1"/>
        <v>12</v>
      </c>
      <c r="H16">
        <f t="shared" si="2"/>
        <v>4</v>
      </c>
      <c r="I16">
        <f t="shared" si="3"/>
        <v>16</v>
      </c>
    </row>
    <row r="17" spans="1:9" x14ac:dyDescent="0.2">
      <c r="A17">
        <v>3967</v>
      </c>
      <c r="B17">
        <v>281.82</v>
      </c>
      <c r="C17">
        <v>11.88</v>
      </c>
      <c r="D17" s="11">
        <f t="shared" si="0"/>
        <v>293.7</v>
      </c>
      <c r="E17" t="s">
        <v>0</v>
      </c>
      <c r="F17" s="1">
        <v>44907</v>
      </c>
      <c r="G17" s="12">
        <f t="shared" si="1"/>
        <v>12</v>
      </c>
      <c r="H17">
        <f t="shared" si="2"/>
        <v>4</v>
      </c>
      <c r="I17">
        <f t="shared" si="3"/>
        <v>6</v>
      </c>
    </row>
    <row r="18" spans="1:9" x14ac:dyDescent="0.2">
      <c r="A18">
        <v>3967</v>
      </c>
      <c r="B18">
        <v>281.82</v>
      </c>
      <c r="C18">
        <v>11.88</v>
      </c>
      <c r="D18" s="11">
        <f t="shared" si="0"/>
        <v>293.7</v>
      </c>
      <c r="E18" t="s">
        <v>0</v>
      </c>
      <c r="F18" s="1">
        <v>44907</v>
      </c>
      <c r="G18" s="12">
        <f t="shared" si="1"/>
        <v>12</v>
      </c>
      <c r="H18">
        <f t="shared" si="2"/>
        <v>4</v>
      </c>
      <c r="I18">
        <f t="shared" si="3"/>
        <v>6</v>
      </c>
    </row>
    <row r="19" spans="1:9" x14ac:dyDescent="0.2">
      <c r="A19">
        <v>3072</v>
      </c>
      <c r="B19">
        <v>45.27</v>
      </c>
      <c r="C19">
        <v>11.45</v>
      </c>
      <c r="D19" s="11">
        <f t="shared" si="0"/>
        <v>56.72</v>
      </c>
      <c r="E19" t="s">
        <v>0</v>
      </c>
      <c r="F19" s="1">
        <v>44907</v>
      </c>
      <c r="G19" s="12">
        <f t="shared" si="1"/>
        <v>12</v>
      </c>
      <c r="H19">
        <f t="shared" si="2"/>
        <v>4</v>
      </c>
      <c r="I19">
        <f t="shared" si="3"/>
        <v>66</v>
      </c>
    </row>
    <row r="20" spans="1:9" x14ac:dyDescent="0.2">
      <c r="A20">
        <v>1944</v>
      </c>
      <c r="B20">
        <v>10</v>
      </c>
      <c r="C20">
        <v>19.05</v>
      </c>
      <c r="D20" s="11">
        <f t="shared" si="0"/>
        <v>29.05</v>
      </c>
      <c r="E20" t="s">
        <v>1</v>
      </c>
      <c r="F20" s="1">
        <v>44907</v>
      </c>
      <c r="G20" s="12">
        <f t="shared" si="1"/>
        <v>12</v>
      </c>
      <c r="H20">
        <f t="shared" si="2"/>
        <v>4</v>
      </c>
      <c r="I20">
        <f t="shared" si="3"/>
        <v>92</v>
      </c>
    </row>
    <row r="21" spans="1:9" x14ac:dyDescent="0.2">
      <c r="A21">
        <v>7464</v>
      </c>
      <c r="B21">
        <v>31.71</v>
      </c>
      <c r="C21">
        <v>48.52</v>
      </c>
      <c r="D21" s="11">
        <f t="shared" si="0"/>
        <v>80.23</v>
      </c>
      <c r="E21" t="s">
        <v>0</v>
      </c>
      <c r="F21" s="1">
        <v>44903</v>
      </c>
      <c r="G21" s="12">
        <f t="shared" si="1"/>
        <v>12</v>
      </c>
      <c r="H21">
        <f t="shared" si="2"/>
        <v>4</v>
      </c>
      <c r="I21">
        <f t="shared" si="3"/>
        <v>42</v>
      </c>
    </row>
    <row r="22" spans="1:9" x14ac:dyDescent="0.2">
      <c r="A22">
        <v>5766</v>
      </c>
      <c r="B22">
        <v>15.99</v>
      </c>
      <c r="C22">
        <v>7.12</v>
      </c>
      <c r="D22" s="11">
        <f t="shared" si="0"/>
        <v>23.11</v>
      </c>
      <c r="E22" t="s">
        <v>0</v>
      </c>
      <c r="F22" s="1">
        <v>44890</v>
      </c>
      <c r="G22" s="12">
        <f t="shared" si="1"/>
        <v>11</v>
      </c>
      <c r="H22">
        <f t="shared" si="2"/>
        <v>4</v>
      </c>
      <c r="I22">
        <f t="shared" si="3"/>
        <v>101</v>
      </c>
    </row>
    <row r="23" spans="1:9" x14ac:dyDescent="0.2">
      <c r="A23">
        <v>8622</v>
      </c>
      <c r="B23">
        <v>5.0999999999999996</v>
      </c>
      <c r="C23">
        <v>9.51</v>
      </c>
      <c r="D23" s="11">
        <f t="shared" si="0"/>
        <v>14.61</v>
      </c>
      <c r="E23" t="s">
        <v>2</v>
      </c>
      <c r="F23" s="1">
        <v>44879</v>
      </c>
      <c r="G23" s="12">
        <f t="shared" si="1"/>
        <v>11</v>
      </c>
      <c r="H23">
        <f t="shared" si="2"/>
        <v>4</v>
      </c>
      <c r="I23">
        <f t="shared" si="3"/>
        <v>106</v>
      </c>
    </row>
    <row r="24" spans="1:9" x14ac:dyDescent="0.2">
      <c r="A24">
        <v>4170</v>
      </c>
      <c r="B24">
        <v>8.4600000000000009</v>
      </c>
      <c r="C24">
        <v>16.850000000000001</v>
      </c>
      <c r="D24" s="11">
        <f t="shared" si="0"/>
        <v>25.310000000000002</v>
      </c>
      <c r="E24" t="s">
        <v>1</v>
      </c>
      <c r="F24" s="1">
        <v>44879</v>
      </c>
      <c r="G24" s="12">
        <f t="shared" si="1"/>
        <v>11</v>
      </c>
      <c r="H24">
        <f t="shared" si="2"/>
        <v>4</v>
      </c>
      <c r="I24">
        <f t="shared" si="3"/>
        <v>99</v>
      </c>
    </row>
    <row r="25" spans="1:9" x14ac:dyDescent="0.2">
      <c r="A25">
        <v>4950</v>
      </c>
      <c r="B25">
        <v>129.77000000000001</v>
      </c>
      <c r="C25">
        <v>18.45</v>
      </c>
      <c r="D25" s="11">
        <f t="shared" si="0"/>
        <v>148.22</v>
      </c>
      <c r="E25" t="s">
        <v>0</v>
      </c>
      <c r="F25" s="1">
        <v>44861</v>
      </c>
      <c r="G25" s="12">
        <f t="shared" si="1"/>
        <v>10</v>
      </c>
      <c r="H25">
        <f t="shared" si="2"/>
        <v>4</v>
      </c>
      <c r="I25">
        <f t="shared" si="3"/>
        <v>37</v>
      </c>
    </row>
    <row r="26" spans="1:9" x14ac:dyDescent="0.2">
      <c r="A26">
        <v>5009</v>
      </c>
      <c r="B26">
        <v>145.28</v>
      </c>
      <c r="C26">
        <v>8.23</v>
      </c>
      <c r="D26" s="11">
        <f t="shared" si="0"/>
        <v>153.51</v>
      </c>
      <c r="E26" t="s">
        <v>1</v>
      </c>
      <c r="F26" s="1">
        <v>44856</v>
      </c>
      <c r="G26" s="12">
        <f t="shared" si="1"/>
        <v>10</v>
      </c>
      <c r="H26">
        <f t="shared" si="2"/>
        <v>4</v>
      </c>
      <c r="I26">
        <f t="shared" si="3"/>
        <v>36</v>
      </c>
    </row>
    <row r="27" spans="1:9" x14ac:dyDescent="0.2">
      <c r="A27">
        <v>591</v>
      </c>
      <c r="B27">
        <v>165.72</v>
      </c>
      <c r="C27">
        <v>10.45</v>
      </c>
      <c r="D27" s="11">
        <f t="shared" si="0"/>
        <v>176.17</v>
      </c>
      <c r="E27" t="s">
        <v>0</v>
      </c>
      <c r="F27" s="1">
        <v>44856</v>
      </c>
      <c r="G27" s="12">
        <f t="shared" si="1"/>
        <v>10</v>
      </c>
      <c r="H27">
        <f t="shared" si="2"/>
        <v>4</v>
      </c>
      <c r="I27">
        <f t="shared" si="3"/>
        <v>30</v>
      </c>
    </row>
    <row r="28" spans="1:9" x14ac:dyDescent="0.2">
      <c r="A28">
        <v>1042</v>
      </c>
      <c r="B28">
        <v>57.87</v>
      </c>
      <c r="C28">
        <v>27.99</v>
      </c>
      <c r="D28" s="11">
        <f t="shared" si="0"/>
        <v>85.86</v>
      </c>
      <c r="E28" t="s">
        <v>1</v>
      </c>
      <c r="F28" s="1">
        <v>44843</v>
      </c>
      <c r="G28" s="12">
        <f t="shared" si="1"/>
        <v>10</v>
      </c>
      <c r="H28">
        <f t="shared" si="2"/>
        <v>4</v>
      </c>
      <c r="I28">
        <f t="shared" si="3"/>
        <v>40</v>
      </c>
    </row>
    <row r="29" spans="1:9" x14ac:dyDescent="0.2">
      <c r="A29">
        <v>7392</v>
      </c>
      <c r="B29">
        <v>126.46</v>
      </c>
      <c r="C29">
        <v>11.45</v>
      </c>
      <c r="D29" s="11">
        <f t="shared" si="0"/>
        <v>137.91</v>
      </c>
      <c r="E29" t="s">
        <v>1</v>
      </c>
      <c r="F29" s="1">
        <v>44841</v>
      </c>
      <c r="G29" s="12">
        <f t="shared" si="1"/>
        <v>10</v>
      </c>
      <c r="H29">
        <f t="shared" si="2"/>
        <v>4</v>
      </c>
      <c r="I29">
        <f t="shared" si="3"/>
        <v>38</v>
      </c>
    </row>
    <row r="30" spans="1:9" x14ac:dyDescent="0.2">
      <c r="A30">
        <v>6931</v>
      </c>
      <c r="B30">
        <v>213.19</v>
      </c>
      <c r="C30">
        <v>11.05</v>
      </c>
      <c r="D30" s="11">
        <f t="shared" si="0"/>
        <v>224.24</v>
      </c>
      <c r="E30" t="s">
        <v>0</v>
      </c>
      <c r="F30" s="1">
        <v>44841</v>
      </c>
      <c r="G30" s="12">
        <f t="shared" si="1"/>
        <v>10</v>
      </c>
      <c r="H30">
        <f t="shared" si="2"/>
        <v>4</v>
      </c>
      <c r="I30">
        <f t="shared" si="3"/>
        <v>22</v>
      </c>
    </row>
    <row r="31" spans="1:9" x14ac:dyDescent="0.2">
      <c r="A31">
        <v>3305</v>
      </c>
      <c r="B31">
        <v>24.92</v>
      </c>
      <c r="C31">
        <v>33.99</v>
      </c>
      <c r="D31" s="11">
        <f t="shared" si="0"/>
        <v>58.910000000000004</v>
      </c>
      <c r="E31" t="s">
        <v>0</v>
      </c>
      <c r="F31" s="1">
        <v>44840</v>
      </c>
      <c r="G31" s="12">
        <f t="shared" si="1"/>
        <v>10</v>
      </c>
      <c r="H31">
        <f t="shared" si="2"/>
        <v>4</v>
      </c>
      <c r="I31">
        <f t="shared" si="3"/>
        <v>59</v>
      </c>
    </row>
    <row r="32" spans="1:9" x14ac:dyDescent="0.2">
      <c r="A32">
        <v>3305</v>
      </c>
      <c r="B32">
        <v>24.92</v>
      </c>
      <c r="C32">
        <v>33.99</v>
      </c>
      <c r="D32" s="11">
        <f t="shared" si="0"/>
        <v>58.910000000000004</v>
      </c>
      <c r="E32" t="s">
        <v>0</v>
      </c>
      <c r="F32" s="1">
        <v>44840</v>
      </c>
      <c r="G32" s="12">
        <f t="shared" si="1"/>
        <v>10</v>
      </c>
      <c r="H32">
        <f t="shared" si="2"/>
        <v>4</v>
      </c>
      <c r="I32">
        <f t="shared" si="3"/>
        <v>59</v>
      </c>
    </row>
    <row r="33" spans="1:9" x14ac:dyDescent="0.2">
      <c r="A33">
        <v>6950</v>
      </c>
      <c r="B33">
        <v>42.66</v>
      </c>
      <c r="C33">
        <v>10.45</v>
      </c>
      <c r="D33" s="11">
        <f t="shared" si="0"/>
        <v>53.11</v>
      </c>
      <c r="E33" t="s">
        <v>0</v>
      </c>
      <c r="F33" s="1">
        <v>44840</v>
      </c>
      <c r="G33" s="12">
        <f t="shared" si="1"/>
        <v>10</v>
      </c>
      <c r="H33">
        <f t="shared" si="2"/>
        <v>4</v>
      </c>
      <c r="I33">
        <f t="shared" si="3"/>
        <v>68</v>
      </c>
    </row>
    <row r="34" spans="1:9" x14ac:dyDescent="0.2">
      <c r="A34">
        <v>7316</v>
      </c>
      <c r="B34">
        <v>48.44</v>
      </c>
      <c r="C34">
        <v>14.28</v>
      </c>
      <c r="D34" s="11">
        <f t="shared" si="0"/>
        <v>62.72</v>
      </c>
      <c r="E34" t="s">
        <v>2</v>
      </c>
      <c r="F34" s="1">
        <v>44840</v>
      </c>
      <c r="G34" s="12">
        <f t="shared" si="1"/>
        <v>10</v>
      </c>
      <c r="H34">
        <f t="shared" si="2"/>
        <v>4</v>
      </c>
      <c r="I34">
        <f t="shared" si="3"/>
        <v>55</v>
      </c>
    </row>
    <row r="35" spans="1:9" x14ac:dyDescent="0.2">
      <c r="A35">
        <v>5456</v>
      </c>
      <c r="B35">
        <v>36.5</v>
      </c>
      <c r="C35">
        <v>23.37</v>
      </c>
      <c r="D35" s="11">
        <f t="shared" si="0"/>
        <v>59.870000000000005</v>
      </c>
      <c r="E35" t="s">
        <v>0</v>
      </c>
      <c r="F35" s="1">
        <v>44837</v>
      </c>
      <c r="G35" s="12">
        <f t="shared" si="1"/>
        <v>10</v>
      </c>
      <c r="H35">
        <f t="shared" si="2"/>
        <v>4</v>
      </c>
      <c r="I35">
        <f t="shared" si="3"/>
        <v>58</v>
      </c>
    </row>
    <row r="36" spans="1:9" x14ac:dyDescent="0.2">
      <c r="A36">
        <v>3323</v>
      </c>
      <c r="B36">
        <v>26.25</v>
      </c>
      <c r="C36">
        <v>31.88</v>
      </c>
      <c r="D36" s="11">
        <f t="shared" si="0"/>
        <v>58.129999999999995</v>
      </c>
      <c r="E36" t="s">
        <v>0</v>
      </c>
      <c r="F36" s="1">
        <v>44831</v>
      </c>
      <c r="G36" s="12">
        <f t="shared" si="1"/>
        <v>9</v>
      </c>
      <c r="H36">
        <f t="shared" si="2"/>
        <v>3</v>
      </c>
      <c r="I36">
        <f t="shared" si="3"/>
        <v>63</v>
      </c>
    </row>
    <row r="37" spans="1:9" x14ac:dyDescent="0.2">
      <c r="A37">
        <v>6252</v>
      </c>
      <c r="B37">
        <v>260.52</v>
      </c>
      <c r="C37">
        <v>12.85</v>
      </c>
      <c r="D37" s="11">
        <f t="shared" si="0"/>
        <v>273.37</v>
      </c>
      <c r="E37" t="s">
        <v>0</v>
      </c>
      <c r="F37" s="1">
        <v>44831</v>
      </c>
      <c r="G37" s="12">
        <f t="shared" si="1"/>
        <v>9</v>
      </c>
      <c r="H37">
        <f t="shared" si="2"/>
        <v>3</v>
      </c>
      <c r="I37">
        <f t="shared" si="3"/>
        <v>10</v>
      </c>
    </row>
    <row r="38" spans="1:9" x14ac:dyDescent="0.2">
      <c r="A38">
        <v>9145</v>
      </c>
      <c r="B38">
        <v>27.48</v>
      </c>
      <c r="C38">
        <v>18.239999999999998</v>
      </c>
      <c r="D38" s="11">
        <f t="shared" si="0"/>
        <v>45.72</v>
      </c>
      <c r="E38" t="s">
        <v>0</v>
      </c>
      <c r="F38" s="1">
        <v>44831</v>
      </c>
      <c r="G38" s="12">
        <f t="shared" si="1"/>
        <v>9</v>
      </c>
      <c r="H38">
        <f t="shared" si="2"/>
        <v>3</v>
      </c>
      <c r="I38">
        <f t="shared" si="3"/>
        <v>77</v>
      </c>
    </row>
    <row r="39" spans="1:9" x14ac:dyDescent="0.2">
      <c r="A39">
        <v>2582</v>
      </c>
      <c r="B39">
        <v>25.77</v>
      </c>
      <c r="C39">
        <v>8.99</v>
      </c>
      <c r="D39" s="11">
        <f t="shared" si="0"/>
        <v>34.76</v>
      </c>
      <c r="E39" t="s">
        <v>0</v>
      </c>
      <c r="F39" s="1">
        <v>44824</v>
      </c>
      <c r="G39" s="12">
        <f t="shared" si="1"/>
        <v>9</v>
      </c>
      <c r="H39">
        <f t="shared" si="2"/>
        <v>3</v>
      </c>
      <c r="I39">
        <f t="shared" si="3"/>
        <v>88</v>
      </c>
    </row>
    <row r="40" spans="1:9" x14ac:dyDescent="0.2">
      <c r="A40">
        <v>6060</v>
      </c>
      <c r="B40">
        <v>102.6</v>
      </c>
      <c r="C40">
        <v>9</v>
      </c>
      <c r="D40" s="11">
        <f t="shared" si="0"/>
        <v>111.6</v>
      </c>
      <c r="E40" t="s">
        <v>0</v>
      </c>
      <c r="F40" s="1">
        <v>44824</v>
      </c>
      <c r="G40" s="12">
        <f t="shared" si="1"/>
        <v>9</v>
      </c>
      <c r="H40">
        <f t="shared" si="2"/>
        <v>3</v>
      </c>
      <c r="I40">
        <f t="shared" si="3"/>
        <v>39</v>
      </c>
    </row>
    <row r="41" spans="1:9" x14ac:dyDescent="0.2">
      <c r="A41">
        <v>5052</v>
      </c>
      <c r="B41">
        <v>220.34</v>
      </c>
      <c r="C41">
        <v>7.85</v>
      </c>
      <c r="D41" s="11">
        <f t="shared" si="0"/>
        <v>228.19</v>
      </c>
      <c r="E41" t="s">
        <v>1</v>
      </c>
      <c r="F41" s="1">
        <v>44814</v>
      </c>
      <c r="G41" s="12">
        <f t="shared" si="1"/>
        <v>9</v>
      </c>
      <c r="H41">
        <f t="shared" si="2"/>
        <v>3</v>
      </c>
      <c r="I41">
        <f t="shared" si="3"/>
        <v>21</v>
      </c>
    </row>
    <row r="42" spans="1:9" x14ac:dyDescent="0.2">
      <c r="A42">
        <v>1901</v>
      </c>
      <c r="B42">
        <v>267.24</v>
      </c>
      <c r="C42">
        <v>11.88</v>
      </c>
      <c r="D42" s="11">
        <f t="shared" si="0"/>
        <v>279.12</v>
      </c>
      <c r="E42" t="s">
        <v>1</v>
      </c>
      <c r="F42" s="1">
        <v>44814</v>
      </c>
      <c r="G42" s="12">
        <f t="shared" si="1"/>
        <v>9</v>
      </c>
      <c r="H42">
        <f t="shared" si="2"/>
        <v>3</v>
      </c>
      <c r="I42">
        <f t="shared" si="3"/>
        <v>9</v>
      </c>
    </row>
    <row r="43" spans="1:9" x14ac:dyDescent="0.2">
      <c r="A43">
        <v>748</v>
      </c>
      <c r="B43">
        <v>40.270000000000003</v>
      </c>
      <c r="C43">
        <v>11.45</v>
      </c>
      <c r="D43" s="11">
        <f t="shared" si="0"/>
        <v>51.72</v>
      </c>
      <c r="E43" t="s">
        <v>0</v>
      </c>
      <c r="F43" s="1">
        <v>44814</v>
      </c>
      <c r="G43" s="12">
        <f t="shared" si="1"/>
        <v>9</v>
      </c>
      <c r="H43">
        <f t="shared" si="2"/>
        <v>3</v>
      </c>
      <c r="I43">
        <f t="shared" si="3"/>
        <v>69</v>
      </c>
    </row>
    <row r="44" spans="1:9" x14ac:dyDescent="0.2">
      <c r="A44">
        <v>8633</v>
      </c>
      <c r="B44">
        <v>49.94</v>
      </c>
      <c r="C44">
        <v>11.15</v>
      </c>
      <c r="D44" s="11">
        <f t="shared" si="0"/>
        <v>61.089999999999996</v>
      </c>
      <c r="E44" t="s">
        <v>1</v>
      </c>
      <c r="F44" s="1">
        <v>44793</v>
      </c>
      <c r="G44" s="12">
        <f t="shared" si="1"/>
        <v>8</v>
      </c>
      <c r="H44">
        <f t="shared" si="2"/>
        <v>3</v>
      </c>
      <c r="I44">
        <f t="shared" si="3"/>
        <v>57</v>
      </c>
    </row>
    <row r="45" spans="1:9" x14ac:dyDescent="0.2">
      <c r="A45">
        <v>1866</v>
      </c>
      <c r="B45">
        <v>161.59</v>
      </c>
      <c r="C45">
        <v>7.02</v>
      </c>
      <c r="D45" s="11">
        <f t="shared" si="0"/>
        <v>168.61</v>
      </c>
      <c r="E45" t="s">
        <v>0</v>
      </c>
      <c r="F45" s="1">
        <v>44793</v>
      </c>
      <c r="G45" s="12">
        <f t="shared" si="1"/>
        <v>8</v>
      </c>
      <c r="H45">
        <f t="shared" si="2"/>
        <v>3</v>
      </c>
      <c r="I45">
        <f t="shared" si="3"/>
        <v>32</v>
      </c>
    </row>
    <row r="46" spans="1:9" x14ac:dyDescent="0.2">
      <c r="A46">
        <v>9065</v>
      </c>
      <c r="B46">
        <v>15.96</v>
      </c>
      <c r="C46">
        <v>21.97</v>
      </c>
      <c r="D46" s="11">
        <f t="shared" si="0"/>
        <v>37.93</v>
      </c>
      <c r="E46" t="s">
        <v>2</v>
      </c>
      <c r="F46" s="1">
        <v>44793</v>
      </c>
      <c r="G46" s="12">
        <f t="shared" si="1"/>
        <v>8</v>
      </c>
      <c r="H46">
        <f t="shared" si="2"/>
        <v>3</v>
      </c>
      <c r="I46">
        <f t="shared" si="3"/>
        <v>82</v>
      </c>
    </row>
    <row r="47" spans="1:9" x14ac:dyDescent="0.2">
      <c r="A47">
        <v>1106</v>
      </c>
      <c r="B47">
        <v>134.24</v>
      </c>
      <c r="C47">
        <v>29.79</v>
      </c>
      <c r="D47" s="11">
        <f t="shared" si="0"/>
        <v>164.03</v>
      </c>
      <c r="E47" t="s">
        <v>0</v>
      </c>
      <c r="F47" s="1">
        <v>44769</v>
      </c>
      <c r="G47" s="12">
        <f t="shared" si="1"/>
        <v>7</v>
      </c>
      <c r="H47">
        <f t="shared" si="2"/>
        <v>3</v>
      </c>
      <c r="I47">
        <f t="shared" si="3"/>
        <v>33</v>
      </c>
    </row>
    <row r="48" spans="1:9" x14ac:dyDescent="0.2">
      <c r="A48">
        <v>2836</v>
      </c>
      <c r="B48">
        <v>9.06</v>
      </c>
      <c r="C48">
        <v>6.05</v>
      </c>
      <c r="D48" s="11">
        <f t="shared" si="0"/>
        <v>15.11</v>
      </c>
      <c r="E48" t="s">
        <v>2</v>
      </c>
      <c r="F48" s="1">
        <v>44769</v>
      </c>
      <c r="G48" s="12">
        <f t="shared" si="1"/>
        <v>7</v>
      </c>
      <c r="H48">
        <f t="shared" si="2"/>
        <v>3</v>
      </c>
      <c r="I48">
        <f t="shared" si="3"/>
        <v>104</v>
      </c>
    </row>
    <row r="49" spans="1:9" x14ac:dyDescent="0.2">
      <c r="A49">
        <v>7836</v>
      </c>
      <c r="B49">
        <v>281.44</v>
      </c>
      <c r="C49">
        <v>33.85</v>
      </c>
      <c r="D49" s="11">
        <f t="shared" si="0"/>
        <v>315.29000000000002</v>
      </c>
      <c r="E49" t="s">
        <v>0</v>
      </c>
      <c r="F49" s="1">
        <v>44769</v>
      </c>
      <c r="G49" s="12">
        <f t="shared" si="1"/>
        <v>7</v>
      </c>
      <c r="H49">
        <f t="shared" si="2"/>
        <v>3</v>
      </c>
      <c r="I49">
        <f t="shared" si="3"/>
        <v>4</v>
      </c>
    </row>
    <row r="50" spans="1:9" x14ac:dyDescent="0.2">
      <c r="A50">
        <v>4382</v>
      </c>
      <c r="B50">
        <v>6.33</v>
      </c>
      <c r="C50">
        <v>19.850000000000001</v>
      </c>
      <c r="D50" s="11">
        <f t="shared" si="0"/>
        <v>26.18</v>
      </c>
      <c r="E50" t="s">
        <v>1</v>
      </c>
      <c r="F50" s="1">
        <v>44765</v>
      </c>
      <c r="G50" s="12">
        <f t="shared" si="1"/>
        <v>7</v>
      </c>
      <c r="H50">
        <f t="shared" si="2"/>
        <v>3</v>
      </c>
      <c r="I50">
        <f t="shared" si="3"/>
        <v>97</v>
      </c>
    </row>
    <row r="51" spans="1:9" x14ac:dyDescent="0.2">
      <c r="A51">
        <v>7867</v>
      </c>
      <c r="B51">
        <v>26.97</v>
      </c>
      <c r="C51">
        <v>8.99</v>
      </c>
      <c r="D51" s="11">
        <f t="shared" si="0"/>
        <v>35.96</v>
      </c>
      <c r="E51" t="s">
        <v>1</v>
      </c>
      <c r="F51" s="1">
        <v>44765</v>
      </c>
      <c r="G51" s="12">
        <f t="shared" si="1"/>
        <v>7</v>
      </c>
      <c r="H51">
        <f t="shared" si="2"/>
        <v>3</v>
      </c>
      <c r="I51">
        <f t="shared" si="3"/>
        <v>87</v>
      </c>
    </row>
    <row r="52" spans="1:9" x14ac:dyDescent="0.2">
      <c r="A52">
        <v>1740</v>
      </c>
      <c r="B52">
        <v>282.85000000000002</v>
      </c>
      <c r="C52">
        <v>13.33</v>
      </c>
      <c r="D52" s="11">
        <f t="shared" si="0"/>
        <v>296.18</v>
      </c>
      <c r="E52" t="s">
        <v>2</v>
      </c>
      <c r="F52" s="1">
        <v>44762</v>
      </c>
      <c r="G52" s="12">
        <f t="shared" si="1"/>
        <v>7</v>
      </c>
      <c r="H52">
        <f t="shared" si="2"/>
        <v>3</v>
      </c>
      <c r="I52">
        <f t="shared" si="3"/>
        <v>5</v>
      </c>
    </row>
    <row r="53" spans="1:9" x14ac:dyDescent="0.2">
      <c r="A53">
        <v>5328</v>
      </c>
      <c r="B53">
        <v>49.16</v>
      </c>
      <c r="C53">
        <v>33.85</v>
      </c>
      <c r="D53" s="11">
        <f t="shared" si="0"/>
        <v>83.009999999999991</v>
      </c>
      <c r="E53" t="s">
        <v>0</v>
      </c>
      <c r="F53" s="1">
        <v>44757</v>
      </c>
      <c r="G53" s="12">
        <f t="shared" si="1"/>
        <v>7</v>
      </c>
      <c r="H53">
        <f t="shared" si="2"/>
        <v>3</v>
      </c>
      <c r="I53">
        <f t="shared" si="3"/>
        <v>41</v>
      </c>
    </row>
    <row r="54" spans="1:9" x14ac:dyDescent="0.2">
      <c r="A54">
        <v>5684</v>
      </c>
      <c r="B54">
        <v>29.89</v>
      </c>
      <c r="C54">
        <v>18.989999999999998</v>
      </c>
      <c r="D54" s="11">
        <f t="shared" si="0"/>
        <v>48.879999999999995</v>
      </c>
      <c r="E54" t="s">
        <v>0</v>
      </c>
      <c r="F54" s="1">
        <v>44745</v>
      </c>
      <c r="G54" s="12">
        <f t="shared" si="1"/>
        <v>7</v>
      </c>
      <c r="H54">
        <f t="shared" si="2"/>
        <v>3</v>
      </c>
      <c r="I54">
        <f t="shared" si="3"/>
        <v>72</v>
      </c>
    </row>
    <row r="55" spans="1:9" x14ac:dyDescent="0.2">
      <c r="A55">
        <v>825</v>
      </c>
      <c r="B55">
        <v>16.559999999999999</v>
      </c>
      <c r="C55">
        <v>6.38</v>
      </c>
      <c r="D55" s="11">
        <f t="shared" si="0"/>
        <v>22.939999999999998</v>
      </c>
      <c r="E55" t="s">
        <v>0</v>
      </c>
      <c r="F55" s="1">
        <v>44739</v>
      </c>
      <c r="G55" s="12">
        <f t="shared" si="1"/>
        <v>6</v>
      </c>
      <c r="H55">
        <f t="shared" si="2"/>
        <v>2</v>
      </c>
      <c r="I55">
        <f t="shared" si="3"/>
        <v>102</v>
      </c>
    </row>
    <row r="56" spans="1:9" x14ac:dyDescent="0.2">
      <c r="A56">
        <v>810</v>
      </c>
      <c r="B56">
        <v>7.89</v>
      </c>
      <c r="C56">
        <v>7.02</v>
      </c>
      <c r="D56" s="11">
        <f t="shared" si="0"/>
        <v>14.91</v>
      </c>
      <c r="E56" t="s">
        <v>0</v>
      </c>
      <c r="F56" s="1">
        <v>44732</v>
      </c>
      <c r="G56" s="12">
        <f t="shared" si="1"/>
        <v>6</v>
      </c>
      <c r="H56">
        <f t="shared" si="2"/>
        <v>2</v>
      </c>
      <c r="I56">
        <f t="shared" si="3"/>
        <v>105</v>
      </c>
    </row>
    <row r="57" spans="1:9" x14ac:dyDescent="0.2">
      <c r="A57">
        <v>7795</v>
      </c>
      <c r="B57">
        <v>800.9</v>
      </c>
      <c r="C57">
        <v>16.329999999999998</v>
      </c>
      <c r="D57" s="11">
        <f t="shared" si="0"/>
        <v>817.23</v>
      </c>
      <c r="E57" t="s">
        <v>0</v>
      </c>
      <c r="F57" s="1">
        <v>44732</v>
      </c>
      <c r="G57" s="12">
        <f t="shared" si="1"/>
        <v>6</v>
      </c>
      <c r="H57">
        <f t="shared" si="2"/>
        <v>2</v>
      </c>
      <c r="I57">
        <f t="shared" si="3"/>
        <v>1</v>
      </c>
    </row>
    <row r="58" spans="1:9" x14ac:dyDescent="0.2">
      <c r="A58">
        <v>4716</v>
      </c>
      <c r="B58">
        <v>8.49</v>
      </c>
      <c r="C58">
        <v>7.45</v>
      </c>
      <c r="D58" s="11">
        <f t="shared" si="0"/>
        <v>15.940000000000001</v>
      </c>
      <c r="E58" t="s">
        <v>0</v>
      </c>
      <c r="F58" s="1">
        <v>44732</v>
      </c>
      <c r="G58" s="12">
        <f t="shared" si="1"/>
        <v>6</v>
      </c>
      <c r="H58">
        <f t="shared" si="2"/>
        <v>2</v>
      </c>
      <c r="I58">
        <f t="shared" si="3"/>
        <v>103</v>
      </c>
    </row>
    <row r="59" spans="1:9" x14ac:dyDescent="0.2">
      <c r="A59">
        <v>529</v>
      </c>
      <c r="B59">
        <v>45.66</v>
      </c>
      <c r="C59">
        <v>9</v>
      </c>
      <c r="D59" s="11">
        <f t="shared" si="0"/>
        <v>54.66</v>
      </c>
      <c r="E59" t="s">
        <v>0</v>
      </c>
      <c r="F59" s="1">
        <v>44727</v>
      </c>
      <c r="G59" s="12">
        <f t="shared" si="1"/>
        <v>6</v>
      </c>
      <c r="H59">
        <f t="shared" si="2"/>
        <v>2</v>
      </c>
      <c r="I59">
        <f t="shared" si="3"/>
        <v>67</v>
      </c>
    </row>
    <row r="60" spans="1:9" x14ac:dyDescent="0.2">
      <c r="A60">
        <v>2024</v>
      </c>
      <c r="B60">
        <v>8.7100000000000009</v>
      </c>
      <c r="C60">
        <v>17.87</v>
      </c>
      <c r="D60" s="11">
        <f t="shared" si="0"/>
        <v>26.580000000000002</v>
      </c>
      <c r="E60" t="s">
        <v>1</v>
      </c>
      <c r="F60" s="1">
        <v>44727</v>
      </c>
      <c r="G60" s="12">
        <f t="shared" si="1"/>
        <v>6</v>
      </c>
      <c r="H60">
        <f t="shared" si="2"/>
        <v>2</v>
      </c>
      <c r="I60">
        <f t="shared" si="3"/>
        <v>95</v>
      </c>
    </row>
    <row r="61" spans="1:9" x14ac:dyDescent="0.2">
      <c r="A61">
        <v>2269</v>
      </c>
      <c r="B61">
        <v>30.79</v>
      </c>
      <c r="C61">
        <v>7.12</v>
      </c>
      <c r="D61" s="11">
        <f t="shared" si="0"/>
        <v>37.909999999999997</v>
      </c>
      <c r="E61" t="s">
        <v>0</v>
      </c>
      <c r="F61" s="1">
        <v>44727</v>
      </c>
      <c r="G61" s="12">
        <f t="shared" si="1"/>
        <v>6</v>
      </c>
      <c r="H61">
        <f t="shared" si="2"/>
        <v>2</v>
      </c>
      <c r="I61">
        <f t="shared" si="3"/>
        <v>83</v>
      </c>
    </row>
    <row r="62" spans="1:9" x14ac:dyDescent="0.2">
      <c r="A62">
        <v>5855</v>
      </c>
      <c r="B62">
        <v>164.54</v>
      </c>
      <c r="C62">
        <v>17.2</v>
      </c>
      <c r="D62" s="11">
        <f t="shared" si="0"/>
        <v>181.73999999999998</v>
      </c>
      <c r="E62" t="s">
        <v>0</v>
      </c>
      <c r="F62" s="1">
        <v>44711</v>
      </c>
      <c r="G62" s="12">
        <f t="shared" si="1"/>
        <v>5</v>
      </c>
      <c r="H62">
        <f t="shared" si="2"/>
        <v>2</v>
      </c>
      <c r="I62">
        <f t="shared" si="3"/>
        <v>29</v>
      </c>
    </row>
    <row r="63" spans="1:9" x14ac:dyDescent="0.2">
      <c r="A63">
        <v>564</v>
      </c>
      <c r="B63">
        <v>198.38</v>
      </c>
      <c r="C63">
        <v>7.12</v>
      </c>
      <c r="D63" s="11">
        <f t="shared" si="0"/>
        <v>205.5</v>
      </c>
      <c r="E63" t="s">
        <v>1</v>
      </c>
      <c r="F63" s="1">
        <v>44711</v>
      </c>
      <c r="G63" s="12">
        <f t="shared" si="1"/>
        <v>5</v>
      </c>
      <c r="H63">
        <f t="shared" si="2"/>
        <v>2</v>
      </c>
      <c r="I63">
        <f t="shared" si="3"/>
        <v>25</v>
      </c>
    </row>
    <row r="64" spans="1:9" x14ac:dyDescent="0.2">
      <c r="A64">
        <v>7325</v>
      </c>
      <c r="B64">
        <v>227.61</v>
      </c>
      <c r="C64">
        <v>11.45</v>
      </c>
      <c r="D64" s="11">
        <f t="shared" si="0"/>
        <v>239.06</v>
      </c>
      <c r="E64" t="s">
        <v>0</v>
      </c>
      <c r="F64" s="1">
        <v>44711</v>
      </c>
      <c r="G64" s="12">
        <f t="shared" si="1"/>
        <v>5</v>
      </c>
      <c r="H64">
        <f t="shared" si="2"/>
        <v>2</v>
      </c>
      <c r="I64">
        <f t="shared" si="3"/>
        <v>18</v>
      </c>
    </row>
    <row r="65" spans="1:9" x14ac:dyDescent="0.2">
      <c r="A65">
        <v>2171</v>
      </c>
      <c r="B65">
        <v>50.67</v>
      </c>
      <c r="C65">
        <v>18.989999999999998</v>
      </c>
      <c r="D65" s="11">
        <f t="shared" si="0"/>
        <v>69.66</v>
      </c>
      <c r="E65" t="s">
        <v>2</v>
      </c>
      <c r="F65" s="1">
        <v>44711</v>
      </c>
      <c r="G65" s="12">
        <f t="shared" si="1"/>
        <v>5</v>
      </c>
      <c r="H65">
        <f t="shared" si="2"/>
        <v>2</v>
      </c>
      <c r="I65">
        <f t="shared" si="3"/>
        <v>48</v>
      </c>
    </row>
    <row r="66" spans="1:9" x14ac:dyDescent="0.2">
      <c r="A66">
        <v>4184</v>
      </c>
      <c r="B66">
        <v>190.12</v>
      </c>
      <c r="C66">
        <v>22.77</v>
      </c>
      <c r="D66" s="11">
        <f t="shared" si="0"/>
        <v>212.89000000000001</v>
      </c>
      <c r="E66" t="s">
        <v>0</v>
      </c>
      <c r="F66" s="1">
        <v>44710</v>
      </c>
      <c r="G66" s="12">
        <f t="shared" si="1"/>
        <v>5</v>
      </c>
      <c r="H66">
        <f t="shared" si="2"/>
        <v>2</v>
      </c>
      <c r="I66">
        <f t="shared" si="3"/>
        <v>23</v>
      </c>
    </row>
    <row r="67" spans="1:9" x14ac:dyDescent="0.2">
      <c r="A67">
        <v>8182</v>
      </c>
      <c r="B67">
        <v>7.12</v>
      </c>
      <c r="C67">
        <v>6.87</v>
      </c>
      <c r="D67" s="11">
        <f t="shared" si="0"/>
        <v>13.99</v>
      </c>
      <c r="E67" t="s">
        <v>2</v>
      </c>
      <c r="F67" s="1">
        <v>44700</v>
      </c>
      <c r="G67" s="12">
        <f t="shared" si="1"/>
        <v>5</v>
      </c>
      <c r="H67">
        <f t="shared" si="2"/>
        <v>2</v>
      </c>
      <c r="I67">
        <f t="shared" si="3"/>
        <v>107</v>
      </c>
    </row>
    <row r="68" spans="1:9" x14ac:dyDescent="0.2">
      <c r="A68">
        <v>627</v>
      </c>
      <c r="B68">
        <v>40.340000000000003</v>
      </c>
      <c r="C68">
        <v>6.37</v>
      </c>
      <c r="D68" s="11">
        <f t="shared" ref="D68:D109" si="5">B68+C68</f>
        <v>46.71</v>
      </c>
      <c r="E68" t="s">
        <v>0</v>
      </c>
      <c r="F68" s="1">
        <v>44689</v>
      </c>
      <c r="G68" s="12">
        <f t="shared" ref="G68:G109" si="6">MONTH(F68)</f>
        <v>5</v>
      </c>
      <c r="H68">
        <f t="shared" ref="H68:H109" si="7">ROUNDUP(G68/3,0)</f>
        <v>2</v>
      </c>
      <c r="I68">
        <f t="shared" ref="I68:I109" si="8">_xlfn.RANK.EQ(D68,$D$3:$D$109,0)</f>
        <v>75</v>
      </c>
    </row>
    <row r="69" spans="1:9" x14ac:dyDescent="0.2">
      <c r="A69">
        <v>1059</v>
      </c>
      <c r="B69">
        <v>127.03</v>
      </c>
      <c r="C69">
        <v>27.97</v>
      </c>
      <c r="D69" s="11">
        <f t="shared" si="5"/>
        <v>155</v>
      </c>
      <c r="E69" t="s">
        <v>2</v>
      </c>
      <c r="F69" s="1">
        <v>44689</v>
      </c>
      <c r="G69" s="12">
        <f t="shared" si="6"/>
        <v>5</v>
      </c>
      <c r="H69">
        <f t="shared" si="7"/>
        <v>2</v>
      </c>
      <c r="I69">
        <f t="shared" si="8"/>
        <v>34</v>
      </c>
    </row>
    <row r="70" spans="1:9" x14ac:dyDescent="0.2">
      <c r="A70">
        <v>7982</v>
      </c>
      <c r="B70">
        <v>205.85</v>
      </c>
      <c r="C70">
        <v>23.12</v>
      </c>
      <c r="D70" s="11">
        <f t="shared" si="5"/>
        <v>228.97</v>
      </c>
      <c r="E70" t="s">
        <v>0</v>
      </c>
      <c r="F70" s="1">
        <v>44689</v>
      </c>
      <c r="G70" s="12">
        <f t="shared" si="6"/>
        <v>5</v>
      </c>
      <c r="H70">
        <f t="shared" si="7"/>
        <v>2</v>
      </c>
      <c r="I70">
        <f t="shared" si="8"/>
        <v>20</v>
      </c>
    </row>
    <row r="71" spans="1:9" x14ac:dyDescent="0.2">
      <c r="A71">
        <v>1426</v>
      </c>
      <c r="B71">
        <v>24.06</v>
      </c>
      <c r="C71">
        <v>7.85</v>
      </c>
      <c r="D71" s="11">
        <f t="shared" si="5"/>
        <v>31.909999999999997</v>
      </c>
      <c r="E71" t="s">
        <v>0</v>
      </c>
      <c r="F71" s="1">
        <v>44689</v>
      </c>
      <c r="G71" s="12">
        <f t="shared" si="6"/>
        <v>5</v>
      </c>
      <c r="H71">
        <f t="shared" si="7"/>
        <v>2</v>
      </c>
      <c r="I71">
        <f t="shared" si="8"/>
        <v>90</v>
      </c>
    </row>
    <row r="72" spans="1:9" x14ac:dyDescent="0.2">
      <c r="A72">
        <v>1053</v>
      </c>
      <c r="B72">
        <v>44.19</v>
      </c>
      <c r="C72">
        <v>27.97</v>
      </c>
      <c r="D72" s="11">
        <f t="shared" si="5"/>
        <v>72.16</v>
      </c>
      <c r="E72" t="s">
        <v>0</v>
      </c>
      <c r="F72" s="1">
        <v>44689</v>
      </c>
      <c r="G72" s="12">
        <f t="shared" si="6"/>
        <v>5</v>
      </c>
      <c r="H72">
        <f t="shared" si="7"/>
        <v>2</v>
      </c>
      <c r="I72">
        <f t="shared" si="8"/>
        <v>46</v>
      </c>
    </row>
    <row r="73" spans="1:9" x14ac:dyDescent="0.2">
      <c r="A73">
        <v>4755</v>
      </c>
      <c r="B73">
        <v>173.09</v>
      </c>
      <c r="C73">
        <v>17.87</v>
      </c>
      <c r="D73" s="11">
        <f t="shared" si="5"/>
        <v>190.96</v>
      </c>
      <c r="E73" t="s">
        <v>0</v>
      </c>
      <c r="F73" s="1">
        <v>44689</v>
      </c>
      <c r="G73" s="12">
        <f t="shared" si="6"/>
        <v>5</v>
      </c>
      <c r="H73">
        <f t="shared" si="7"/>
        <v>2</v>
      </c>
      <c r="I73">
        <f t="shared" si="8"/>
        <v>28</v>
      </c>
    </row>
    <row r="74" spans="1:9" x14ac:dyDescent="0.2">
      <c r="A74">
        <v>7488</v>
      </c>
      <c r="B74">
        <v>35.25</v>
      </c>
      <c r="C74">
        <v>22.32</v>
      </c>
      <c r="D74" s="11">
        <f t="shared" si="5"/>
        <v>57.57</v>
      </c>
      <c r="E74" t="s">
        <v>0</v>
      </c>
      <c r="F74" s="1">
        <v>44689</v>
      </c>
      <c r="G74" s="12">
        <f t="shared" si="6"/>
        <v>5</v>
      </c>
      <c r="H74">
        <f t="shared" si="7"/>
        <v>2</v>
      </c>
      <c r="I74">
        <f t="shared" si="8"/>
        <v>64</v>
      </c>
    </row>
    <row r="75" spans="1:9" x14ac:dyDescent="0.2">
      <c r="A75">
        <v>3591</v>
      </c>
      <c r="B75">
        <v>30.71</v>
      </c>
      <c r="C75">
        <v>6.15</v>
      </c>
      <c r="D75" s="11">
        <f t="shared" si="5"/>
        <v>36.86</v>
      </c>
      <c r="E75" t="s">
        <v>0</v>
      </c>
      <c r="F75" s="1">
        <v>44689</v>
      </c>
      <c r="G75" s="12">
        <f t="shared" si="6"/>
        <v>5</v>
      </c>
      <c r="H75">
        <f t="shared" si="7"/>
        <v>2</v>
      </c>
      <c r="I75">
        <f t="shared" si="8"/>
        <v>85</v>
      </c>
    </row>
    <row r="76" spans="1:9" x14ac:dyDescent="0.2">
      <c r="A76">
        <v>8207</v>
      </c>
      <c r="B76">
        <v>30.69</v>
      </c>
      <c r="C76">
        <v>13.88</v>
      </c>
      <c r="D76" s="11">
        <f t="shared" si="5"/>
        <v>44.57</v>
      </c>
      <c r="E76" t="s">
        <v>0</v>
      </c>
      <c r="F76" s="1">
        <v>44682</v>
      </c>
      <c r="G76" s="12">
        <f t="shared" si="6"/>
        <v>5</v>
      </c>
      <c r="H76">
        <f t="shared" si="7"/>
        <v>2</v>
      </c>
      <c r="I76">
        <f t="shared" si="8"/>
        <v>78</v>
      </c>
    </row>
    <row r="77" spans="1:9" x14ac:dyDescent="0.2">
      <c r="A77">
        <v>3545</v>
      </c>
      <c r="B77">
        <v>20.37</v>
      </c>
      <c r="C77">
        <v>6.37</v>
      </c>
      <c r="D77" s="11">
        <f t="shared" si="5"/>
        <v>26.740000000000002</v>
      </c>
      <c r="E77" t="s">
        <v>0</v>
      </c>
      <c r="F77" s="1">
        <v>44681</v>
      </c>
      <c r="G77" s="12">
        <f t="shared" si="6"/>
        <v>4</v>
      </c>
      <c r="H77">
        <f t="shared" si="7"/>
        <v>2</v>
      </c>
      <c r="I77">
        <f t="shared" si="8"/>
        <v>94</v>
      </c>
    </row>
    <row r="78" spans="1:9" x14ac:dyDescent="0.2">
      <c r="A78">
        <v>1969</v>
      </c>
      <c r="B78">
        <v>39.74</v>
      </c>
      <c r="C78">
        <v>26.87</v>
      </c>
      <c r="D78" s="11">
        <f t="shared" si="5"/>
        <v>66.61</v>
      </c>
      <c r="E78" t="s">
        <v>0</v>
      </c>
      <c r="F78" s="1">
        <v>44681</v>
      </c>
      <c r="G78" s="12">
        <f t="shared" si="6"/>
        <v>4</v>
      </c>
      <c r="H78">
        <f t="shared" si="7"/>
        <v>2</v>
      </c>
      <c r="I78">
        <f t="shared" si="8"/>
        <v>52</v>
      </c>
    </row>
    <row r="79" spans="1:9" x14ac:dyDescent="0.2">
      <c r="A79">
        <v>7989</v>
      </c>
      <c r="B79">
        <v>30.5</v>
      </c>
      <c r="C79">
        <v>17.23</v>
      </c>
      <c r="D79" s="11">
        <f t="shared" si="5"/>
        <v>47.730000000000004</v>
      </c>
      <c r="E79" t="s">
        <v>0</v>
      </c>
      <c r="F79" s="1">
        <v>44680</v>
      </c>
      <c r="G79" s="12">
        <f t="shared" si="6"/>
        <v>4</v>
      </c>
      <c r="H79">
        <f t="shared" si="7"/>
        <v>2</v>
      </c>
      <c r="I79">
        <f t="shared" si="8"/>
        <v>73</v>
      </c>
    </row>
    <row r="80" spans="1:9" x14ac:dyDescent="0.2">
      <c r="A80">
        <v>925</v>
      </c>
      <c r="B80">
        <v>32.11</v>
      </c>
      <c r="C80">
        <v>19.25</v>
      </c>
      <c r="D80" s="11">
        <f t="shared" si="5"/>
        <v>51.36</v>
      </c>
      <c r="E80" t="s">
        <v>2</v>
      </c>
      <c r="F80" s="1">
        <v>44676</v>
      </c>
      <c r="G80" s="12">
        <f t="shared" si="6"/>
        <v>4</v>
      </c>
      <c r="H80">
        <f t="shared" si="7"/>
        <v>2</v>
      </c>
      <c r="I80">
        <f t="shared" si="8"/>
        <v>70</v>
      </c>
    </row>
    <row r="81" spans="1:9" x14ac:dyDescent="0.2">
      <c r="A81">
        <v>1282</v>
      </c>
      <c r="B81">
        <v>223.31</v>
      </c>
      <c r="C81">
        <v>23.37</v>
      </c>
      <c r="D81" s="11">
        <f t="shared" si="5"/>
        <v>246.68</v>
      </c>
      <c r="E81" t="s">
        <v>0</v>
      </c>
      <c r="F81" s="1">
        <v>44676</v>
      </c>
      <c r="G81" s="12">
        <f t="shared" si="6"/>
        <v>4</v>
      </c>
      <c r="H81">
        <f t="shared" si="7"/>
        <v>2</v>
      </c>
      <c r="I81">
        <f t="shared" si="8"/>
        <v>15</v>
      </c>
    </row>
    <row r="82" spans="1:9" x14ac:dyDescent="0.2">
      <c r="A82">
        <v>8809</v>
      </c>
      <c r="B82">
        <v>47.57</v>
      </c>
      <c r="C82">
        <v>21.97</v>
      </c>
      <c r="D82" s="11">
        <f t="shared" si="5"/>
        <v>69.539999999999992</v>
      </c>
      <c r="E82" t="s">
        <v>0</v>
      </c>
      <c r="F82" s="1">
        <v>44676</v>
      </c>
      <c r="G82" s="12">
        <f t="shared" si="6"/>
        <v>4</v>
      </c>
      <c r="H82">
        <f t="shared" si="7"/>
        <v>2</v>
      </c>
      <c r="I82">
        <f t="shared" si="8"/>
        <v>49</v>
      </c>
    </row>
    <row r="83" spans="1:9" x14ac:dyDescent="0.2">
      <c r="A83">
        <v>479</v>
      </c>
      <c r="B83">
        <v>7.02</v>
      </c>
      <c r="C83">
        <v>18.989999999999998</v>
      </c>
      <c r="D83" s="11">
        <f t="shared" si="5"/>
        <v>26.009999999999998</v>
      </c>
      <c r="E83" t="s">
        <v>0</v>
      </c>
      <c r="F83" s="1">
        <v>44670</v>
      </c>
      <c r="G83" s="12">
        <f t="shared" si="6"/>
        <v>4</v>
      </c>
      <c r="H83">
        <f t="shared" si="7"/>
        <v>2</v>
      </c>
      <c r="I83">
        <f t="shared" si="8"/>
        <v>98</v>
      </c>
    </row>
    <row r="84" spans="1:9" x14ac:dyDescent="0.2">
      <c r="A84">
        <v>383</v>
      </c>
      <c r="B84">
        <v>13.27</v>
      </c>
      <c r="C84">
        <v>11.15</v>
      </c>
      <c r="D84" s="11">
        <f t="shared" si="5"/>
        <v>24.42</v>
      </c>
      <c r="E84" t="s">
        <v>0</v>
      </c>
      <c r="F84" s="1">
        <v>44670</v>
      </c>
      <c r="G84" s="12">
        <f t="shared" si="6"/>
        <v>4</v>
      </c>
      <c r="H84">
        <f t="shared" si="7"/>
        <v>2</v>
      </c>
      <c r="I84">
        <f t="shared" si="8"/>
        <v>100</v>
      </c>
    </row>
    <row r="85" spans="1:9" x14ac:dyDescent="0.2">
      <c r="A85">
        <v>1985</v>
      </c>
      <c r="B85">
        <v>5.91</v>
      </c>
      <c r="C85">
        <v>21.97</v>
      </c>
      <c r="D85" s="11">
        <f t="shared" si="5"/>
        <v>27.88</v>
      </c>
      <c r="E85" t="s">
        <v>2</v>
      </c>
      <c r="F85" s="1">
        <v>44650</v>
      </c>
      <c r="G85" s="12">
        <f t="shared" si="6"/>
        <v>3</v>
      </c>
      <c r="H85">
        <f t="shared" si="7"/>
        <v>1</v>
      </c>
      <c r="I85">
        <f t="shared" si="8"/>
        <v>93</v>
      </c>
    </row>
    <row r="86" spans="1:9" x14ac:dyDescent="0.2">
      <c r="A86">
        <v>7923</v>
      </c>
      <c r="B86">
        <v>243.61</v>
      </c>
      <c r="C86">
        <v>13.33</v>
      </c>
      <c r="D86" s="11">
        <f t="shared" si="5"/>
        <v>256.94</v>
      </c>
      <c r="E86" t="s">
        <v>0</v>
      </c>
      <c r="F86" s="1">
        <v>44650</v>
      </c>
      <c r="G86" s="12">
        <f t="shared" si="6"/>
        <v>3</v>
      </c>
      <c r="H86">
        <f t="shared" si="7"/>
        <v>1</v>
      </c>
      <c r="I86">
        <f t="shared" si="8"/>
        <v>12</v>
      </c>
    </row>
    <row r="87" spans="1:9" x14ac:dyDescent="0.2">
      <c r="A87">
        <v>2948</v>
      </c>
      <c r="B87">
        <v>53.4</v>
      </c>
      <c r="C87">
        <v>17.87</v>
      </c>
      <c r="D87" s="11">
        <f t="shared" si="5"/>
        <v>71.27</v>
      </c>
      <c r="E87" t="s">
        <v>1</v>
      </c>
      <c r="F87" s="1">
        <v>44647</v>
      </c>
      <c r="G87" s="12">
        <f t="shared" si="6"/>
        <v>3</v>
      </c>
      <c r="H87">
        <f t="shared" si="7"/>
        <v>1</v>
      </c>
      <c r="I87">
        <f t="shared" si="8"/>
        <v>47</v>
      </c>
    </row>
    <row r="88" spans="1:9" x14ac:dyDescent="0.2">
      <c r="A88">
        <v>7349</v>
      </c>
      <c r="B88">
        <v>153.47</v>
      </c>
      <c r="C88">
        <v>19.850000000000001</v>
      </c>
      <c r="D88" s="11">
        <f t="shared" si="5"/>
        <v>173.32</v>
      </c>
      <c r="E88" t="s">
        <v>0</v>
      </c>
      <c r="F88" s="1">
        <v>44632</v>
      </c>
      <c r="G88" s="12">
        <f t="shared" si="6"/>
        <v>3</v>
      </c>
      <c r="H88">
        <f t="shared" si="7"/>
        <v>1</v>
      </c>
      <c r="I88">
        <f t="shared" si="8"/>
        <v>31</v>
      </c>
    </row>
    <row r="89" spans="1:9" x14ac:dyDescent="0.2">
      <c r="A89">
        <v>6887</v>
      </c>
      <c r="B89">
        <v>242</v>
      </c>
      <c r="C89">
        <v>23.78</v>
      </c>
      <c r="D89" s="11">
        <f t="shared" si="5"/>
        <v>265.77999999999997</v>
      </c>
      <c r="E89" t="s">
        <v>0</v>
      </c>
      <c r="F89" s="1">
        <v>44632</v>
      </c>
      <c r="G89" s="12">
        <f t="shared" si="6"/>
        <v>3</v>
      </c>
      <c r="H89">
        <f t="shared" si="7"/>
        <v>1</v>
      </c>
      <c r="I89">
        <f t="shared" si="8"/>
        <v>11</v>
      </c>
    </row>
    <row r="90" spans="1:9" x14ac:dyDescent="0.2">
      <c r="A90">
        <v>878</v>
      </c>
      <c r="B90">
        <v>210.26</v>
      </c>
      <c r="C90">
        <v>23.37</v>
      </c>
      <c r="D90" s="11">
        <f t="shared" si="5"/>
        <v>233.63</v>
      </c>
      <c r="E90" t="s">
        <v>0</v>
      </c>
      <c r="F90" s="1">
        <v>44622</v>
      </c>
      <c r="G90" s="12">
        <f t="shared" si="6"/>
        <v>3</v>
      </c>
      <c r="H90">
        <f t="shared" si="7"/>
        <v>1</v>
      </c>
      <c r="I90">
        <f t="shared" si="8"/>
        <v>19</v>
      </c>
    </row>
    <row r="91" spans="1:9" x14ac:dyDescent="0.2">
      <c r="A91">
        <v>1239</v>
      </c>
      <c r="B91">
        <v>378</v>
      </c>
      <c r="C91">
        <v>7.85</v>
      </c>
      <c r="D91" s="11">
        <f t="shared" si="5"/>
        <v>385.85</v>
      </c>
      <c r="E91" t="s">
        <v>0</v>
      </c>
      <c r="F91" s="1">
        <v>44621</v>
      </c>
      <c r="G91" s="12">
        <f t="shared" si="6"/>
        <v>3</v>
      </c>
      <c r="H91">
        <f t="shared" si="7"/>
        <v>1</v>
      </c>
      <c r="I91">
        <f t="shared" si="8"/>
        <v>3</v>
      </c>
    </row>
    <row r="92" spans="1:9" x14ac:dyDescent="0.2">
      <c r="A92">
        <v>4576</v>
      </c>
      <c r="B92">
        <v>66.319999999999993</v>
      </c>
      <c r="C92">
        <v>11.15</v>
      </c>
      <c r="D92" s="11">
        <f t="shared" si="5"/>
        <v>77.47</v>
      </c>
      <c r="E92" t="s">
        <v>0</v>
      </c>
      <c r="F92" s="1">
        <v>44621</v>
      </c>
      <c r="G92" s="12">
        <f t="shared" si="6"/>
        <v>3</v>
      </c>
      <c r="H92">
        <f t="shared" si="7"/>
        <v>1</v>
      </c>
      <c r="I92">
        <f t="shared" si="8"/>
        <v>43</v>
      </c>
    </row>
    <row r="93" spans="1:9" x14ac:dyDescent="0.2">
      <c r="A93">
        <v>8518</v>
      </c>
      <c r="B93">
        <v>219.49</v>
      </c>
      <c r="C93">
        <v>33.99</v>
      </c>
      <c r="D93" s="11">
        <f t="shared" si="5"/>
        <v>253.48000000000002</v>
      </c>
      <c r="E93" t="s">
        <v>2</v>
      </c>
      <c r="F93" s="1">
        <v>44621</v>
      </c>
      <c r="G93" s="12">
        <f t="shared" si="6"/>
        <v>3</v>
      </c>
      <c r="H93">
        <f t="shared" si="7"/>
        <v>1</v>
      </c>
      <c r="I93">
        <f t="shared" si="8"/>
        <v>13</v>
      </c>
    </row>
    <row r="94" spans="1:9" x14ac:dyDescent="0.2">
      <c r="A94">
        <v>7441</v>
      </c>
      <c r="B94">
        <v>65.8</v>
      </c>
      <c r="C94">
        <v>11.05</v>
      </c>
      <c r="D94" s="11">
        <f t="shared" si="5"/>
        <v>76.849999999999994</v>
      </c>
      <c r="E94" t="s">
        <v>0</v>
      </c>
      <c r="F94" s="1">
        <v>44619</v>
      </c>
      <c r="G94" s="12">
        <f t="shared" si="6"/>
        <v>2</v>
      </c>
      <c r="H94">
        <f t="shared" si="7"/>
        <v>1</v>
      </c>
      <c r="I94">
        <f t="shared" si="8"/>
        <v>44</v>
      </c>
    </row>
    <row r="95" spans="1:9" x14ac:dyDescent="0.2">
      <c r="A95">
        <v>670</v>
      </c>
      <c r="B95">
        <v>142.54</v>
      </c>
      <c r="C95">
        <v>11.85</v>
      </c>
      <c r="D95" s="11">
        <f t="shared" si="5"/>
        <v>154.38999999999999</v>
      </c>
      <c r="E95" t="s">
        <v>0</v>
      </c>
      <c r="F95" s="1">
        <v>44619</v>
      </c>
      <c r="G95" s="12">
        <f t="shared" si="6"/>
        <v>2</v>
      </c>
      <c r="H95">
        <f t="shared" si="7"/>
        <v>1</v>
      </c>
      <c r="I95">
        <f t="shared" si="8"/>
        <v>35</v>
      </c>
    </row>
    <row r="96" spans="1:9" x14ac:dyDescent="0.2">
      <c r="A96">
        <v>2162</v>
      </c>
      <c r="B96">
        <v>35.36</v>
      </c>
      <c r="C96">
        <v>8.99</v>
      </c>
      <c r="D96" s="11">
        <f t="shared" si="5"/>
        <v>44.35</v>
      </c>
      <c r="E96" t="s">
        <v>1</v>
      </c>
      <c r="F96" s="1">
        <v>44619</v>
      </c>
      <c r="G96" s="12">
        <f t="shared" si="6"/>
        <v>2</v>
      </c>
      <c r="H96">
        <f t="shared" si="7"/>
        <v>1</v>
      </c>
      <c r="I96">
        <f t="shared" si="8"/>
        <v>79</v>
      </c>
    </row>
    <row r="97" spans="1:9" x14ac:dyDescent="0.2">
      <c r="A97">
        <v>5147</v>
      </c>
      <c r="B97">
        <v>22.02</v>
      </c>
      <c r="C97">
        <v>14.8</v>
      </c>
      <c r="D97" s="11">
        <f t="shared" si="5"/>
        <v>36.82</v>
      </c>
      <c r="E97" t="s">
        <v>1</v>
      </c>
      <c r="F97" s="1">
        <v>44619</v>
      </c>
      <c r="G97" s="12">
        <f t="shared" si="6"/>
        <v>2</v>
      </c>
      <c r="H97">
        <f t="shared" si="7"/>
        <v>1</v>
      </c>
      <c r="I97">
        <f t="shared" si="8"/>
        <v>86</v>
      </c>
    </row>
    <row r="98" spans="1:9" x14ac:dyDescent="0.2">
      <c r="A98">
        <v>2162</v>
      </c>
      <c r="B98">
        <v>35.36</v>
      </c>
      <c r="C98">
        <v>8.99</v>
      </c>
      <c r="D98" s="11">
        <f t="shared" si="5"/>
        <v>44.35</v>
      </c>
      <c r="E98" t="s">
        <v>1</v>
      </c>
      <c r="F98" s="1">
        <v>44619</v>
      </c>
      <c r="G98" s="12">
        <f t="shared" si="6"/>
        <v>2</v>
      </c>
      <c r="H98">
        <f t="shared" si="7"/>
        <v>1</v>
      </c>
      <c r="I98">
        <f t="shared" si="8"/>
        <v>79</v>
      </c>
    </row>
    <row r="99" spans="1:9" x14ac:dyDescent="0.2">
      <c r="A99">
        <v>235</v>
      </c>
      <c r="B99">
        <v>47.31</v>
      </c>
      <c r="C99">
        <v>16.850000000000001</v>
      </c>
      <c r="D99" s="11">
        <f t="shared" si="5"/>
        <v>64.16</v>
      </c>
      <c r="E99" t="s">
        <v>0</v>
      </c>
      <c r="F99" s="1">
        <v>44619</v>
      </c>
      <c r="G99" s="12">
        <f t="shared" si="6"/>
        <v>2</v>
      </c>
      <c r="H99">
        <f t="shared" si="7"/>
        <v>1</v>
      </c>
      <c r="I99">
        <f t="shared" si="8"/>
        <v>53</v>
      </c>
    </row>
    <row r="100" spans="1:9" x14ac:dyDescent="0.2">
      <c r="A100">
        <v>792</v>
      </c>
      <c r="B100">
        <v>28.35</v>
      </c>
      <c r="C100">
        <v>9.2200000000000006</v>
      </c>
      <c r="D100" s="11">
        <f t="shared" si="5"/>
        <v>37.57</v>
      </c>
      <c r="E100" t="s">
        <v>0</v>
      </c>
      <c r="F100" s="1">
        <v>44612</v>
      </c>
      <c r="G100" s="12">
        <f t="shared" si="6"/>
        <v>2</v>
      </c>
      <c r="H100">
        <f t="shared" si="7"/>
        <v>1</v>
      </c>
      <c r="I100">
        <f t="shared" si="8"/>
        <v>84</v>
      </c>
    </row>
    <row r="101" spans="1:9" x14ac:dyDescent="0.2">
      <c r="A101">
        <v>4564</v>
      </c>
      <c r="B101">
        <v>44.29</v>
      </c>
      <c r="C101">
        <v>24.08</v>
      </c>
      <c r="D101" s="11">
        <f t="shared" si="5"/>
        <v>68.37</v>
      </c>
      <c r="E101" t="s">
        <v>0</v>
      </c>
      <c r="F101" s="1">
        <v>44586</v>
      </c>
      <c r="G101" s="12">
        <f t="shared" si="6"/>
        <v>1</v>
      </c>
      <c r="H101">
        <f t="shared" si="7"/>
        <v>1</v>
      </c>
      <c r="I101">
        <f t="shared" si="8"/>
        <v>51</v>
      </c>
    </row>
    <row r="102" spans="1:9" x14ac:dyDescent="0.2">
      <c r="A102">
        <v>8402</v>
      </c>
      <c r="B102">
        <v>49.78</v>
      </c>
      <c r="C102">
        <v>23.37</v>
      </c>
      <c r="D102" s="11">
        <f t="shared" si="5"/>
        <v>73.150000000000006</v>
      </c>
      <c r="E102" t="s">
        <v>2</v>
      </c>
      <c r="F102" s="1">
        <v>44586</v>
      </c>
      <c r="G102" s="12">
        <f t="shared" si="6"/>
        <v>1</v>
      </c>
      <c r="H102">
        <f t="shared" si="7"/>
        <v>1</v>
      </c>
      <c r="I102">
        <f t="shared" si="8"/>
        <v>45</v>
      </c>
    </row>
    <row r="103" spans="1:9" x14ac:dyDescent="0.2">
      <c r="A103">
        <v>1369</v>
      </c>
      <c r="B103">
        <v>24.66</v>
      </c>
      <c r="C103">
        <v>21.97</v>
      </c>
      <c r="D103" s="11">
        <f t="shared" si="5"/>
        <v>46.629999999999995</v>
      </c>
      <c r="E103" t="s">
        <v>0</v>
      </c>
      <c r="F103" s="1">
        <v>44576</v>
      </c>
      <c r="G103" s="12">
        <f t="shared" si="6"/>
        <v>1</v>
      </c>
      <c r="H103">
        <f t="shared" si="7"/>
        <v>1</v>
      </c>
      <c r="I103">
        <f t="shared" si="8"/>
        <v>76</v>
      </c>
    </row>
    <row r="104" spans="1:9" x14ac:dyDescent="0.2">
      <c r="A104">
        <v>6596</v>
      </c>
      <c r="B104">
        <v>46.36</v>
      </c>
      <c r="C104">
        <v>16.27</v>
      </c>
      <c r="D104" s="11">
        <f t="shared" si="5"/>
        <v>62.629999999999995</v>
      </c>
      <c r="E104" t="s">
        <v>1</v>
      </c>
      <c r="F104" s="1">
        <v>44576</v>
      </c>
      <c r="G104" s="12">
        <f t="shared" si="6"/>
        <v>1</v>
      </c>
      <c r="H104">
        <f t="shared" si="7"/>
        <v>1</v>
      </c>
      <c r="I104">
        <f t="shared" si="8"/>
        <v>56</v>
      </c>
    </row>
    <row r="105" spans="1:9" x14ac:dyDescent="0.2">
      <c r="A105">
        <v>7496</v>
      </c>
      <c r="B105">
        <v>11.61</v>
      </c>
      <c r="C105">
        <v>18.45</v>
      </c>
      <c r="D105" s="11">
        <f t="shared" si="5"/>
        <v>30.06</v>
      </c>
      <c r="E105" t="s">
        <v>0</v>
      </c>
      <c r="F105" s="1">
        <v>44576</v>
      </c>
      <c r="G105" s="12">
        <f t="shared" si="6"/>
        <v>1</v>
      </c>
      <c r="H105">
        <f t="shared" si="7"/>
        <v>1</v>
      </c>
      <c r="I105">
        <f t="shared" si="8"/>
        <v>91</v>
      </c>
    </row>
    <row r="106" spans="1:9" x14ac:dyDescent="0.2">
      <c r="A106">
        <v>8974</v>
      </c>
      <c r="B106">
        <v>40.619999999999997</v>
      </c>
      <c r="C106">
        <v>17.600000000000001</v>
      </c>
      <c r="D106" s="11">
        <f t="shared" si="5"/>
        <v>58.22</v>
      </c>
      <c r="E106" t="s">
        <v>0</v>
      </c>
      <c r="F106" s="1">
        <v>44576</v>
      </c>
      <c r="G106" s="12">
        <f t="shared" si="6"/>
        <v>1</v>
      </c>
      <c r="H106">
        <f t="shared" si="7"/>
        <v>1</v>
      </c>
      <c r="I106">
        <f t="shared" si="8"/>
        <v>62</v>
      </c>
    </row>
    <row r="107" spans="1:9" x14ac:dyDescent="0.2">
      <c r="A107">
        <v>3665</v>
      </c>
      <c r="B107">
        <v>17.29</v>
      </c>
      <c r="C107">
        <v>8.99</v>
      </c>
      <c r="D107" s="11">
        <f t="shared" si="5"/>
        <v>26.28</v>
      </c>
      <c r="E107" t="s">
        <v>0</v>
      </c>
      <c r="F107" s="1">
        <v>44565</v>
      </c>
      <c r="G107" s="12">
        <f t="shared" si="6"/>
        <v>1</v>
      </c>
      <c r="H107">
        <f t="shared" si="7"/>
        <v>1</v>
      </c>
      <c r="I107">
        <f t="shared" si="8"/>
        <v>96</v>
      </c>
    </row>
    <row r="108" spans="1:9" x14ac:dyDescent="0.2">
      <c r="A108">
        <v>9107</v>
      </c>
      <c r="B108">
        <v>24.18</v>
      </c>
      <c r="C108">
        <v>22.77</v>
      </c>
      <c r="D108" s="11">
        <f t="shared" si="5"/>
        <v>46.95</v>
      </c>
      <c r="E108" t="s">
        <v>0</v>
      </c>
      <c r="F108" s="1">
        <v>44564</v>
      </c>
      <c r="G108" s="12">
        <f t="shared" si="6"/>
        <v>1</v>
      </c>
      <c r="H108">
        <f t="shared" si="7"/>
        <v>1</v>
      </c>
      <c r="I108">
        <f t="shared" si="8"/>
        <v>74</v>
      </c>
    </row>
    <row r="109" spans="1:9" x14ac:dyDescent="0.2">
      <c r="A109">
        <v>9068</v>
      </c>
      <c r="B109">
        <v>179.38</v>
      </c>
      <c r="C109">
        <v>16.27</v>
      </c>
      <c r="D109" s="11">
        <f t="shared" si="5"/>
        <v>195.65</v>
      </c>
      <c r="E109" t="s">
        <v>0</v>
      </c>
      <c r="F109" s="1">
        <v>44564</v>
      </c>
      <c r="G109" s="12">
        <f t="shared" si="6"/>
        <v>1</v>
      </c>
      <c r="H109">
        <f t="shared" si="7"/>
        <v>1</v>
      </c>
      <c r="I109">
        <f t="shared" si="8"/>
        <v>27</v>
      </c>
    </row>
  </sheetData>
  <sortState ref="A3:G198">
    <sortCondition descending="1" ref="F2:F198"/>
  </sortState>
  <mergeCells count="1">
    <mergeCell ref="A1:I1"/>
  </mergeCells>
  <phoneticPr fontId="1" type="noConversion"/>
  <conditionalFormatting sqref="D3:D109">
    <cfRule type="iconSet" priority="1">
      <iconSet iconSet="3Flags">
        <cfvo type="percent" val="0"/>
        <cfvo type="num" val="100"/>
        <cfvo type="num" val="200"/>
      </iconSet>
    </cfRule>
  </conditionalFormatting>
  <pageMargins left="0.7" right="0.7" top="0.75" bottom="0.75" header="0.3" footer="0.3"/>
  <pageSetup paperSize="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5"/>
  <sheetViews>
    <sheetView topLeftCell="A10" workbookViewId="0">
      <selection activeCell="B6" sqref="B6"/>
    </sheetView>
  </sheetViews>
  <sheetFormatPr defaultColWidth="8.75" defaultRowHeight="14.25" x14ac:dyDescent="0.2"/>
  <cols>
    <col min="1" max="1" width="11.625" style="4" customWidth="1"/>
    <col min="2" max="2" width="10.75" style="4" customWidth="1"/>
    <col min="3" max="3" width="5.125" style="4" customWidth="1"/>
    <col min="4" max="4" width="13.875" style="4" customWidth="1"/>
    <col min="5" max="5" width="11.375" style="4" customWidth="1"/>
    <col min="6" max="6" width="14" style="4" customWidth="1"/>
    <col min="7" max="7" width="12.125" style="4" customWidth="1"/>
    <col min="8" max="16384" width="8.75" style="4"/>
  </cols>
  <sheetData>
    <row r="1" spans="1:15" x14ac:dyDescent="0.2">
      <c r="B1" s="4" t="s">
        <v>40</v>
      </c>
      <c r="G1" s="4" t="s">
        <v>23</v>
      </c>
    </row>
    <row r="2" spans="1:15" x14ac:dyDescent="0.2">
      <c r="B2" s="4" t="s">
        <v>41</v>
      </c>
      <c r="G2" s="4" t="s">
        <v>42</v>
      </c>
    </row>
    <row r="3" spans="1:15" x14ac:dyDescent="0.2">
      <c r="B3" s="4" t="s">
        <v>33</v>
      </c>
      <c r="G3" s="4" t="s">
        <v>42</v>
      </c>
    </row>
    <row r="5" spans="1:15" ht="15" x14ac:dyDescent="0.2">
      <c r="A5" s="3" t="s">
        <v>17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  <c r="I5" s="3" t="s">
        <v>17</v>
      </c>
      <c r="J5" s="3" t="s">
        <v>18</v>
      </c>
      <c r="K5" s="3" t="s">
        <v>19</v>
      </c>
      <c r="L5" s="3" t="s">
        <v>20</v>
      </c>
      <c r="M5" s="3" t="s">
        <v>21</v>
      </c>
      <c r="N5" s="3" t="s">
        <v>22</v>
      </c>
      <c r="O5" s="3" t="s">
        <v>23</v>
      </c>
    </row>
    <row r="6" spans="1:15" ht="15.75" x14ac:dyDescent="0.25">
      <c r="A6" s="5" t="s">
        <v>24</v>
      </c>
      <c r="B6" s="5" t="s">
        <v>27</v>
      </c>
      <c r="C6" s="8">
        <v>4</v>
      </c>
      <c r="D6" s="8">
        <v>562</v>
      </c>
      <c r="E6" s="8">
        <v>38422</v>
      </c>
      <c r="F6" s="6">
        <f t="shared" ref="F6:F37" si="0">_xlfn.RANK.EQ(D6,$D$6:$D$85)</f>
        <v>5</v>
      </c>
      <c r="G6" s="6">
        <f t="shared" ref="G6:G37" si="1">_xlfn.RANK.EQ(E6,$E$6:$E$85)</f>
        <v>4</v>
      </c>
      <c r="I6" s="5" t="s">
        <v>24</v>
      </c>
      <c r="J6" s="5" t="s">
        <v>27</v>
      </c>
      <c r="K6" s="8">
        <v>4</v>
      </c>
      <c r="L6" s="8">
        <v>562</v>
      </c>
      <c r="M6" s="8">
        <v>38422</v>
      </c>
      <c r="N6" s="6">
        <v>5</v>
      </c>
      <c r="O6" s="6">
        <v>4</v>
      </c>
    </row>
    <row r="7" spans="1:15" ht="15.75" x14ac:dyDescent="0.25">
      <c r="A7" s="5" t="s">
        <v>24</v>
      </c>
      <c r="B7" s="5" t="s">
        <v>27</v>
      </c>
      <c r="C7" s="8">
        <v>2</v>
      </c>
      <c r="D7" s="8">
        <v>453</v>
      </c>
      <c r="E7" s="8">
        <v>31950</v>
      </c>
      <c r="F7" s="6">
        <f t="shared" si="0"/>
        <v>10</v>
      </c>
      <c r="G7" s="6">
        <f t="shared" si="1"/>
        <v>12</v>
      </c>
      <c r="I7" s="5" t="s">
        <v>24</v>
      </c>
      <c r="J7" s="5" t="s">
        <v>27</v>
      </c>
      <c r="K7" s="8">
        <v>2</v>
      </c>
      <c r="L7" s="8">
        <v>453</v>
      </c>
      <c r="M7" s="8">
        <v>31950</v>
      </c>
      <c r="N7" s="6">
        <v>10</v>
      </c>
      <c r="O7" s="6">
        <v>12</v>
      </c>
    </row>
    <row r="8" spans="1:15" ht="15.75" x14ac:dyDescent="0.25">
      <c r="A8" s="5" t="s">
        <v>36</v>
      </c>
      <c r="B8" s="5" t="s">
        <v>27</v>
      </c>
      <c r="C8" s="8">
        <v>3</v>
      </c>
      <c r="D8" s="8">
        <v>231</v>
      </c>
      <c r="E8" s="8">
        <v>26380</v>
      </c>
      <c r="F8" s="6">
        <f t="shared" si="0"/>
        <v>53</v>
      </c>
      <c r="G8" s="6">
        <f t="shared" si="1"/>
        <v>24</v>
      </c>
      <c r="I8" s="5" t="s">
        <v>36</v>
      </c>
      <c r="J8" s="5" t="s">
        <v>27</v>
      </c>
      <c r="K8" s="8">
        <v>3</v>
      </c>
      <c r="L8" s="8">
        <v>231</v>
      </c>
      <c r="M8" s="8">
        <v>26380</v>
      </c>
      <c r="N8" s="6">
        <v>53</v>
      </c>
      <c r="O8" s="6">
        <v>24</v>
      </c>
    </row>
    <row r="9" spans="1:15" ht="15.75" x14ac:dyDescent="0.25">
      <c r="A9" s="5" t="s">
        <v>36</v>
      </c>
      <c r="B9" s="5" t="s">
        <v>27</v>
      </c>
      <c r="C9" s="8">
        <v>1</v>
      </c>
      <c r="D9" s="8">
        <v>356</v>
      </c>
      <c r="E9" s="8">
        <v>23721</v>
      </c>
      <c r="F9" s="6">
        <f t="shared" si="0"/>
        <v>27</v>
      </c>
      <c r="G9" s="6">
        <f t="shared" si="1"/>
        <v>28</v>
      </c>
      <c r="I9" s="5" t="s">
        <v>36</v>
      </c>
      <c r="J9" s="5" t="s">
        <v>27</v>
      </c>
      <c r="K9" s="8">
        <v>1</v>
      </c>
      <c r="L9" s="8">
        <v>356</v>
      </c>
      <c r="M9" s="8">
        <v>23721</v>
      </c>
      <c r="N9" s="6">
        <v>27</v>
      </c>
      <c r="O9" s="6">
        <v>28</v>
      </c>
    </row>
    <row r="10" spans="1:15" ht="15.75" x14ac:dyDescent="0.25">
      <c r="A10" s="5" t="s">
        <v>26</v>
      </c>
      <c r="B10" s="7" t="s">
        <v>27</v>
      </c>
      <c r="C10" s="7">
        <v>4</v>
      </c>
      <c r="D10" s="7">
        <v>416</v>
      </c>
      <c r="E10" s="7">
        <v>42234</v>
      </c>
      <c r="F10" s="6">
        <f t="shared" si="0"/>
        <v>19</v>
      </c>
      <c r="G10" s="6">
        <f t="shared" si="1"/>
        <v>2</v>
      </c>
      <c r="I10" s="5" t="s">
        <v>26</v>
      </c>
      <c r="J10" s="7" t="s">
        <v>27</v>
      </c>
      <c r="K10" s="7">
        <v>4</v>
      </c>
      <c r="L10" s="7">
        <v>416</v>
      </c>
      <c r="M10" s="7">
        <v>42234</v>
      </c>
      <c r="N10" s="6">
        <v>19</v>
      </c>
      <c r="O10" s="6">
        <v>2</v>
      </c>
    </row>
    <row r="11" spans="1:15" ht="15.75" x14ac:dyDescent="0.25">
      <c r="A11" s="7" t="s">
        <v>29</v>
      </c>
      <c r="B11" s="7" t="s">
        <v>27</v>
      </c>
      <c r="C11" s="7">
        <v>3</v>
      </c>
      <c r="D11" s="7">
        <v>478</v>
      </c>
      <c r="E11" s="7">
        <v>36290</v>
      </c>
      <c r="F11" s="6">
        <f t="shared" si="0"/>
        <v>9</v>
      </c>
      <c r="G11" s="6">
        <f t="shared" si="1"/>
        <v>6</v>
      </c>
      <c r="I11" s="7" t="s">
        <v>29</v>
      </c>
      <c r="J11" s="7" t="s">
        <v>27</v>
      </c>
      <c r="K11" s="7">
        <v>3</v>
      </c>
      <c r="L11" s="7">
        <v>478</v>
      </c>
      <c r="M11" s="7">
        <v>36290</v>
      </c>
      <c r="N11" s="6">
        <v>9</v>
      </c>
      <c r="O11" s="6">
        <v>6</v>
      </c>
    </row>
    <row r="12" spans="1:15" ht="15.75" x14ac:dyDescent="0.25">
      <c r="A12" s="5" t="s">
        <v>26</v>
      </c>
      <c r="B12" s="7" t="s">
        <v>27</v>
      </c>
      <c r="C12" s="7">
        <v>2</v>
      </c>
      <c r="D12" s="7">
        <v>367</v>
      </c>
      <c r="E12" s="7">
        <v>31785</v>
      </c>
      <c r="F12" s="6">
        <f t="shared" si="0"/>
        <v>24</v>
      </c>
      <c r="G12" s="6">
        <f t="shared" si="1"/>
        <v>13</v>
      </c>
      <c r="I12" s="5" t="s">
        <v>26</v>
      </c>
      <c r="J12" s="7" t="s">
        <v>27</v>
      </c>
      <c r="K12" s="7">
        <v>2</v>
      </c>
      <c r="L12" s="7">
        <v>367</v>
      </c>
      <c r="M12" s="7">
        <v>31785</v>
      </c>
      <c r="N12" s="6">
        <v>24</v>
      </c>
      <c r="O12" s="6">
        <v>13</v>
      </c>
    </row>
    <row r="13" spans="1:15" ht="15.75" x14ac:dyDescent="0.25">
      <c r="A13" s="7" t="s">
        <v>29</v>
      </c>
      <c r="B13" s="7" t="s">
        <v>27</v>
      </c>
      <c r="C13" s="7">
        <v>1</v>
      </c>
      <c r="D13" s="7">
        <v>245</v>
      </c>
      <c r="E13" s="7">
        <v>21718</v>
      </c>
      <c r="F13" s="6">
        <f t="shared" si="0"/>
        <v>49</v>
      </c>
      <c r="G13" s="6">
        <f t="shared" si="1"/>
        <v>37</v>
      </c>
      <c r="I13" s="8" t="s">
        <v>35</v>
      </c>
      <c r="J13" s="5" t="s">
        <v>27</v>
      </c>
      <c r="K13" s="8">
        <v>2</v>
      </c>
      <c r="L13" s="8">
        <v>498</v>
      </c>
      <c r="M13" s="8">
        <v>26680</v>
      </c>
      <c r="N13" s="6">
        <v>8</v>
      </c>
      <c r="O13" s="6">
        <v>22</v>
      </c>
    </row>
    <row r="14" spans="1:15" ht="15.75" x14ac:dyDescent="0.25">
      <c r="A14" s="8" t="s">
        <v>35</v>
      </c>
      <c r="B14" s="5" t="s">
        <v>27</v>
      </c>
      <c r="C14" s="8">
        <v>2</v>
      </c>
      <c r="D14" s="8">
        <v>498</v>
      </c>
      <c r="E14" s="8">
        <v>26680</v>
      </c>
      <c r="F14" s="6">
        <f t="shared" si="0"/>
        <v>8</v>
      </c>
      <c r="G14" s="6">
        <f t="shared" si="1"/>
        <v>22</v>
      </c>
      <c r="I14" s="5" t="s">
        <v>35</v>
      </c>
      <c r="J14" s="5" t="s">
        <v>27</v>
      </c>
      <c r="K14" s="8">
        <v>3</v>
      </c>
      <c r="L14" s="8">
        <v>432</v>
      </c>
      <c r="M14" s="8">
        <v>25030</v>
      </c>
      <c r="N14" s="6">
        <v>13</v>
      </c>
      <c r="O14" s="6">
        <v>25</v>
      </c>
    </row>
    <row r="15" spans="1:15" ht="15.75" x14ac:dyDescent="0.25">
      <c r="A15" s="5" t="s">
        <v>35</v>
      </c>
      <c r="B15" s="5" t="s">
        <v>27</v>
      </c>
      <c r="C15" s="8">
        <v>3</v>
      </c>
      <c r="D15" s="8">
        <v>432</v>
      </c>
      <c r="E15" s="8">
        <v>25030</v>
      </c>
      <c r="F15" s="6">
        <f t="shared" si="0"/>
        <v>13</v>
      </c>
      <c r="G15" s="6">
        <f t="shared" si="1"/>
        <v>25</v>
      </c>
      <c r="I15" s="5" t="s">
        <v>35</v>
      </c>
      <c r="J15" s="5" t="s">
        <v>27</v>
      </c>
      <c r="K15" s="8">
        <v>1</v>
      </c>
      <c r="L15" s="8">
        <v>198</v>
      </c>
      <c r="M15" s="8">
        <v>23461</v>
      </c>
      <c r="N15" s="6">
        <v>67</v>
      </c>
      <c r="O15" s="6">
        <v>30</v>
      </c>
    </row>
    <row r="16" spans="1:15" ht="15.75" x14ac:dyDescent="0.25">
      <c r="A16" s="5" t="s">
        <v>35</v>
      </c>
      <c r="B16" s="5" t="s">
        <v>27</v>
      </c>
      <c r="C16" s="8">
        <v>1</v>
      </c>
      <c r="D16" s="8">
        <v>198</v>
      </c>
      <c r="E16" s="8">
        <v>23461</v>
      </c>
      <c r="F16" s="6">
        <f t="shared" si="0"/>
        <v>67</v>
      </c>
      <c r="G16" s="6">
        <f t="shared" si="1"/>
        <v>30</v>
      </c>
      <c r="I16" s="6" t="s">
        <v>28</v>
      </c>
      <c r="J16" s="5" t="s">
        <v>27</v>
      </c>
      <c r="K16" s="6">
        <v>4</v>
      </c>
      <c r="L16" s="7">
        <v>408</v>
      </c>
      <c r="M16" s="7">
        <v>37342</v>
      </c>
      <c r="N16" s="6">
        <v>21</v>
      </c>
      <c r="O16" s="6">
        <v>5</v>
      </c>
    </row>
    <row r="17" spans="1:15" ht="15.75" x14ac:dyDescent="0.25">
      <c r="A17" s="8" t="s">
        <v>35</v>
      </c>
      <c r="B17" s="5" t="s">
        <v>27</v>
      </c>
      <c r="C17" s="8">
        <v>4</v>
      </c>
      <c r="D17" s="8">
        <v>261</v>
      </c>
      <c r="E17" s="8">
        <v>19860</v>
      </c>
      <c r="F17" s="6">
        <f t="shared" si="0"/>
        <v>46</v>
      </c>
      <c r="G17" s="6">
        <f t="shared" si="1"/>
        <v>40</v>
      </c>
      <c r="I17" s="6" t="s">
        <v>28</v>
      </c>
      <c r="J17" s="5" t="s">
        <v>27</v>
      </c>
      <c r="K17" s="6">
        <v>1</v>
      </c>
      <c r="L17" s="7">
        <v>323</v>
      </c>
      <c r="M17" s="7">
        <v>32256</v>
      </c>
      <c r="N17" s="6">
        <v>37</v>
      </c>
      <c r="O17" s="6">
        <v>11</v>
      </c>
    </row>
    <row r="18" spans="1:15" ht="15.75" x14ac:dyDescent="0.25">
      <c r="A18" s="6" t="s">
        <v>28</v>
      </c>
      <c r="B18" s="5" t="s">
        <v>27</v>
      </c>
      <c r="C18" s="6">
        <v>4</v>
      </c>
      <c r="D18" s="7">
        <v>408</v>
      </c>
      <c r="E18" s="7">
        <v>37342</v>
      </c>
      <c r="F18" s="6">
        <f t="shared" si="0"/>
        <v>21</v>
      </c>
      <c r="G18" s="6">
        <f t="shared" si="1"/>
        <v>5</v>
      </c>
      <c r="I18" s="6" t="s">
        <v>32</v>
      </c>
      <c r="J18" s="5" t="s">
        <v>33</v>
      </c>
      <c r="K18" s="6">
        <v>1</v>
      </c>
      <c r="L18" s="6">
        <v>569</v>
      </c>
      <c r="M18" s="6">
        <v>28450</v>
      </c>
      <c r="N18" s="6">
        <v>4</v>
      </c>
      <c r="O18" s="6">
        <v>19</v>
      </c>
    </row>
    <row r="19" spans="1:15" ht="15.75" x14ac:dyDescent="0.25">
      <c r="A19" s="6" t="s">
        <v>28</v>
      </c>
      <c r="B19" s="5" t="s">
        <v>27</v>
      </c>
      <c r="C19" s="6">
        <v>1</v>
      </c>
      <c r="D19" s="7">
        <v>323</v>
      </c>
      <c r="E19" s="7">
        <v>32256</v>
      </c>
      <c r="F19" s="6">
        <f t="shared" si="0"/>
        <v>37</v>
      </c>
      <c r="G19" s="6">
        <f t="shared" si="1"/>
        <v>11</v>
      </c>
      <c r="I19" s="6" t="s">
        <v>28</v>
      </c>
      <c r="J19" s="5" t="s">
        <v>33</v>
      </c>
      <c r="K19" s="6">
        <v>2</v>
      </c>
      <c r="L19" s="6">
        <v>432</v>
      </c>
      <c r="M19" s="6">
        <v>31256</v>
      </c>
      <c r="N19" s="6">
        <v>13</v>
      </c>
      <c r="O19" s="6">
        <v>14</v>
      </c>
    </row>
    <row r="20" spans="1:15" s="10" customFormat="1" ht="15.75" x14ac:dyDescent="0.25">
      <c r="A20" s="6" t="s">
        <v>28</v>
      </c>
      <c r="B20" s="5" t="s">
        <v>27</v>
      </c>
      <c r="C20" s="6">
        <v>3</v>
      </c>
      <c r="D20" s="7">
        <v>292</v>
      </c>
      <c r="E20" s="7">
        <v>22786</v>
      </c>
      <c r="F20" s="6">
        <f t="shared" si="0"/>
        <v>44</v>
      </c>
      <c r="G20" s="6">
        <f t="shared" si="1"/>
        <v>33</v>
      </c>
    </row>
    <row r="21" spans="1:15" s="10" customFormat="1" ht="15.75" x14ac:dyDescent="0.25">
      <c r="A21" s="6" t="s">
        <v>28</v>
      </c>
      <c r="B21" s="5" t="s">
        <v>27</v>
      </c>
      <c r="C21" s="6">
        <v>2</v>
      </c>
      <c r="D21" s="7">
        <v>217</v>
      </c>
      <c r="E21" s="7">
        <v>18178</v>
      </c>
      <c r="F21" s="6">
        <f t="shared" si="0"/>
        <v>59</v>
      </c>
      <c r="G21" s="6">
        <f t="shared" si="1"/>
        <v>44</v>
      </c>
    </row>
    <row r="22" spans="1:15" s="10" customFormat="1" ht="15.75" x14ac:dyDescent="0.25">
      <c r="A22" s="6" t="s">
        <v>32</v>
      </c>
      <c r="B22" s="5" t="s">
        <v>34</v>
      </c>
      <c r="C22" s="6">
        <v>2</v>
      </c>
      <c r="D22" s="6">
        <v>412</v>
      </c>
      <c r="E22" s="6">
        <v>28840</v>
      </c>
      <c r="F22" s="6">
        <f t="shared" si="0"/>
        <v>20</v>
      </c>
      <c r="G22" s="6">
        <f t="shared" si="1"/>
        <v>18</v>
      </c>
    </row>
    <row r="23" spans="1:15" s="10" customFormat="1" ht="15.75" x14ac:dyDescent="0.25">
      <c r="A23" s="6" t="s">
        <v>32</v>
      </c>
      <c r="B23" s="5" t="s">
        <v>34</v>
      </c>
      <c r="C23" s="6">
        <v>1</v>
      </c>
      <c r="D23" s="6">
        <v>345</v>
      </c>
      <c r="E23" s="6">
        <v>24150</v>
      </c>
      <c r="F23" s="6">
        <f t="shared" si="0"/>
        <v>29</v>
      </c>
      <c r="G23" s="6">
        <f t="shared" si="1"/>
        <v>26</v>
      </c>
    </row>
    <row r="24" spans="1:15" ht="15.75" x14ac:dyDescent="0.25">
      <c r="A24" s="6" t="s">
        <v>32</v>
      </c>
      <c r="B24" s="5" t="s">
        <v>34</v>
      </c>
      <c r="C24" s="6">
        <v>3</v>
      </c>
      <c r="D24" s="6">
        <v>323</v>
      </c>
      <c r="E24" s="6">
        <v>22610</v>
      </c>
      <c r="F24" s="6">
        <f t="shared" si="0"/>
        <v>37</v>
      </c>
      <c r="G24" s="6">
        <f t="shared" si="1"/>
        <v>35</v>
      </c>
    </row>
    <row r="25" spans="1:15" ht="15.75" x14ac:dyDescent="0.25">
      <c r="A25" s="6" t="s">
        <v>32</v>
      </c>
      <c r="B25" s="5" t="s">
        <v>34</v>
      </c>
      <c r="C25" s="6">
        <v>4</v>
      </c>
      <c r="D25" s="6">
        <v>187</v>
      </c>
      <c r="E25" s="6">
        <v>13090</v>
      </c>
      <c r="F25" s="6">
        <f t="shared" si="0"/>
        <v>70</v>
      </c>
      <c r="G25" s="6">
        <f t="shared" si="1"/>
        <v>54</v>
      </c>
    </row>
    <row r="26" spans="1:15" ht="15.75" x14ac:dyDescent="0.25">
      <c r="A26" s="6" t="s">
        <v>37</v>
      </c>
      <c r="B26" s="5" t="s">
        <v>34</v>
      </c>
      <c r="C26" s="6">
        <v>2</v>
      </c>
      <c r="D26" s="6">
        <v>256</v>
      </c>
      <c r="E26" s="6">
        <v>17920</v>
      </c>
      <c r="F26" s="6">
        <f t="shared" si="0"/>
        <v>48</v>
      </c>
      <c r="G26" s="6">
        <f t="shared" si="1"/>
        <v>45</v>
      </c>
    </row>
    <row r="27" spans="1:15" ht="15.75" x14ac:dyDescent="0.25">
      <c r="A27" s="6" t="s">
        <v>37</v>
      </c>
      <c r="B27" s="5" t="s">
        <v>34</v>
      </c>
      <c r="C27" s="6">
        <v>3</v>
      </c>
      <c r="D27" s="6">
        <v>234</v>
      </c>
      <c r="E27" s="6">
        <v>16380</v>
      </c>
      <c r="F27" s="6">
        <f t="shared" si="0"/>
        <v>50</v>
      </c>
      <c r="G27" s="6">
        <f t="shared" si="1"/>
        <v>46</v>
      </c>
    </row>
    <row r="28" spans="1:15" ht="15.75" x14ac:dyDescent="0.25">
      <c r="A28" s="6" t="s">
        <v>37</v>
      </c>
      <c r="B28" s="5" t="s">
        <v>34</v>
      </c>
      <c r="C28" s="6">
        <v>1</v>
      </c>
      <c r="D28" s="6">
        <v>206</v>
      </c>
      <c r="E28" s="6">
        <v>14420</v>
      </c>
      <c r="F28" s="6">
        <f t="shared" si="0"/>
        <v>65</v>
      </c>
      <c r="G28" s="6">
        <f t="shared" si="1"/>
        <v>50</v>
      </c>
    </row>
    <row r="29" spans="1:15" ht="15.75" x14ac:dyDescent="0.25">
      <c r="A29" s="6" t="s">
        <v>37</v>
      </c>
      <c r="B29" s="5" t="s">
        <v>34</v>
      </c>
      <c r="C29" s="6">
        <v>4</v>
      </c>
      <c r="D29" s="6">
        <v>196</v>
      </c>
      <c r="E29" s="6">
        <v>13720</v>
      </c>
      <c r="F29" s="6">
        <f t="shared" si="0"/>
        <v>68</v>
      </c>
      <c r="G29" s="6">
        <f t="shared" si="1"/>
        <v>53</v>
      </c>
    </row>
    <row r="30" spans="1:15" ht="15.75" x14ac:dyDescent="0.25">
      <c r="A30" s="6" t="s">
        <v>30</v>
      </c>
      <c r="B30" s="5" t="s">
        <v>34</v>
      </c>
      <c r="C30" s="6">
        <v>2</v>
      </c>
      <c r="D30" s="6">
        <v>345</v>
      </c>
      <c r="E30" s="6">
        <v>24150</v>
      </c>
      <c r="F30" s="6">
        <f t="shared" si="0"/>
        <v>29</v>
      </c>
      <c r="G30" s="6">
        <f t="shared" si="1"/>
        <v>26</v>
      </c>
    </row>
    <row r="31" spans="1:15" ht="15.75" x14ac:dyDescent="0.25">
      <c r="A31" s="6" t="s">
        <v>30</v>
      </c>
      <c r="B31" s="5" t="s">
        <v>34</v>
      </c>
      <c r="C31" s="6">
        <v>1</v>
      </c>
      <c r="D31" s="6">
        <v>212</v>
      </c>
      <c r="E31" s="6">
        <v>14840</v>
      </c>
      <c r="F31" s="6">
        <f t="shared" si="0"/>
        <v>63</v>
      </c>
      <c r="G31" s="6">
        <f t="shared" si="1"/>
        <v>49</v>
      </c>
    </row>
    <row r="32" spans="1:15" ht="15.75" x14ac:dyDescent="0.25">
      <c r="A32" s="6" t="s">
        <v>30</v>
      </c>
      <c r="B32" s="5" t="s">
        <v>34</v>
      </c>
      <c r="C32" s="6">
        <v>4</v>
      </c>
      <c r="D32" s="6">
        <v>157</v>
      </c>
      <c r="E32" s="6">
        <v>10990</v>
      </c>
      <c r="F32" s="6">
        <f t="shared" si="0"/>
        <v>73</v>
      </c>
      <c r="G32" s="6">
        <f t="shared" si="1"/>
        <v>59</v>
      </c>
    </row>
    <row r="33" spans="1:7" ht="15.75" x14ac:dyDescent="0.25">
      <c r="A33" s="6" t="s">
        <v>30</v>
      </c>
      <c r="B33" s="5" t="s">
        <v>34</v>
      </c>
      <c r="C33" s="6">
        <v>3</v>
      </c>
      <c r="D33" s="6">
        <v>124</v>
      </c>
      <c r="E33" s="6">
        <v>8680</v>
      </c>
      <c r="F33" s="6">
        <f t="shared" si="0"/>
        <v>77</v>
      </c>
      <c r="G33" s="6">
        <f t="shared" si="1"/>
        <v>76</v>
      </c>
    </row>
    <row r="34" spans="1:7" ht="15.75" x14ac:dyDescent="0.25">
      <c r="A34" s="5" t="s">
        <v>28</v>
      </c>
      <c r="B34" s="5" t="s">
        <v>34</v>
      </c>
      <c r="C34" s="6">
        <v>4</v>
      </c>
      <c r="D34" s="6">
        <v>398</v>
      </c>
      <c r="E34" s="6">
        <v>27860</v>
      </c>
      <c r="F34" s="6">
        <f t="shared" si="0"/>
        <v>22</v>
      </c>
      <c r="G34" s="6">
        <f t="shared" si="1"/>
        <v>20</v>
      </c>
    </row>
    <row r="35" spans="1:7" ht="15.75" x14ac:dyDescent="0.25">
      <c r="A35" s="5" t="s">
        <v>28</v>
      </c>
      <c r="B35" s="5" t="s">
        <v>34</v>
      </c>
      <c r="C35" s="6">
        <v>3</v>
      </c>
      <c r="D35" s="6">
        <v>378</v>
      </c>
      <c r="E35" s="6">
        <v>26460</v>
      </c>
      <c r="F35" s="6">
        <f t="shared" si="0"/>
        <v>23</v>
      </c>
      <c r="G35" s="6">
        <f t="shared" si="1"/>
        <v>23</v>
      </c>
    </row>
    <row r="36" spans="1:7" ht="15.75" x14ac:dyDescent="0.25">
      <c r="A36" s="5" t="s">
        <v>28</v>
      </c>
      <c r="B36" s="5" t="s">
        <v>34</v>
      </c>
      <c r="C36" s="6">
        <v>2</v>
      </c>
      <c r="D36" s="6">
        <v>329</v>
      </c>
      <c r="E36" s="6">
        <v>23030</v>
      </c>
      <c r="F36" s="6">
        <f t="shared" si="0"/>
        <v>34</v>
      </c>
      <c r="G36" s="6">
        <f t="shared" si="1"/>
        <v>32</v>
      </c>
    </row>
    <row r="37" spans="1:7" ht="15.75" x14ac:dyDescent="0.25">
      <c r="A37" s="5" t="s">
        <v>28</v>
      </c>
      <c r="B37" s="5" t="s">
        <v>34</v>
      </c>
      <c r="C37" s="6">
        <v>1</v>
      </c>
      <c r="D37" s="6">
        <v>324</v>
      </c>
      <c r="E37" s="6">
        <v>22680</v>
      </c>
      <c r="F37" s="6">
        <f t="shared" si="0"/>
        <v>35</v>
      </c>
      <c r="G37" s="6">
        <f t="shared" si="1"/>
        <v>34</v>
      </c>
    </row>
    <row r="38" spans="1:7" ht="15.75" x14ac:dyDescent="0.25">
      <c r="A38" s="6" t="s">
        <v>32</v>
      </c>
      <c r="B38" s="5" t="s">
        <v>31</v>
      </c>
      <c r="C38" s="6">
        <v>1</v>
      </c>
      <c r="D38" s="6">
        <v>765</v>
      </c>
      <c r="E38" s="6">
        <v>32950</v>
      </c>
      <c r="F38" s="6">
        <f t="shared" ref="F38:F69" si="2">_xlfn.RANK.EQ(D38,$D$6:$D$85)</f>
        <v>1</v>
      </c>
      <c r="G38" s="6">
        <f t="shared" ref="G38:G69" si="3">_xlfn.RANK.EQ(E38,$E$6:$E$85)</f>
        <v>9</v>
      </c>
    </row>
    <row r="39" spans="1:7" ht="15.75" x14ac:dyDescent="0.25">
      <c r="A39" s="6" t="s">
        <v>32</v>
      </c>
      <c r="B39" s="5" t="s">
        <v>31</v>
      </c>
      <c r="C39" s="6">
        <v>2</v>
      </c>
      <c r="D39" s="6">
        <v>654</v>
      </c>
      <c r="E39" s="6">
        <v>19620</v>
      </c>
      <c r="F39" s="6">
        <f t="shared" si="2"/>
        <v>2</v>
      </c>
      <c r="G39" s="6">
        <f t="shared" si="3"/>
        <v>41</v>
      </c>
    </row>
    <row r="40" spans="1:7" ht="15.75" x14ac:dyDescent="0.25">
      <c r="A40" s="6" t="s">
        <v>32</v>
      </c>
      <c r="B40" s="5" t="s">
        <v>31</v>
      </c>
      <c r="C40" s="6">
        <v>3</v>
      </c>
      <c r="D40" s="6">
        <v>365</v>
      </c>
      <c r="E40" s="6">
        <v>10950</v>
      </c>
      <c r="F40" s="6">
        <f t="shared" si="2"/>
        <v>25</v>
      </c>
      <c r="G40" s="6">
        <f t="shared" si="3"/>
        <v>60</v>
      </c>
    </row>
    <row r="41" spans="1:7" ht="15.75" x14ac:dyDescent="0.25">
      <c r="A41" s="6" t="s">
        <v>32</v>
      </c>
      <c r="B41" s="5" t="s">
        <v>31</v>
      </c>
      <c r="C41" s="6">
        <v>4</v>
      </c>
      <c r="D41" s="6">
        <v>342</v>
      </c>
      <c r="E41" s="6">
        <v>10260</v>
      </c>
      <c r="F41" s="6">
        <f t="shared" si="2"/>
        <v>31</v>
      </c>
      <c r="G41" s="6">
        <f t="shared" si="3"/>
        <v>66</v>
      </c>
    </row>
    <row r="42" spans="1:7" s="9" customFormat="1" ht="15.75" x14ac:dyDescent="0.25">
      <c r="A42" s="6" t="s">
        <v>37</v>
      </c>
      <c r="B42" s="5" t="s">
        <v>31</v>
      </c>
      <c r="C42" s="6">
        <v>3</v>
      </c>
      <c r="D42" s="6">
        <v>543</v>
      </c>
      <c r="E42" s="6">
        <v>19290</v>
      </c>
      <c r="F42" s="6">
        <f t="shared" si="2"/>
        <v>6</v>
      </c>
      <c r="G42" s="6">
        <f t="shared" si="3"/>
        <v>42</v>
      </c>
    </row>
    <row r="43" spans="1:7" s="9" customFormat="1" ht="15.75" x14ac:dyDescent="0.25">
      <c r="A43" s="6" t="s">
        <v>37</v>
      </c>
      <c r="B43" s="5" t="s">
        <v>31</v>
      </c>
      <c r="C43" s="6">
        <v>4</v>
      </c>
      <c r="D43" s="6">
        <v>421</v>
      </c>
      <c r="E43" s="6">
        <v>12630</v>
      </c>
      <c r="F43" s="6">
        <f t="shared" si="2"/>
        <v>17</v>
      </c>
      <c r="G43" s="6">
        <f t="shared" si="3"/>
        <v>56</v>
      </c>
    </row>
    <row r="44" spans="1:7" s="9" customFormat="1" ht="15.75" x14ac:dyDescent="0.25">
      <c r="A44" s="6" t="s">
        <v>37</v>
      </c>
      <c r="B44" s="5" t="s">
        <v>31</v>
      </c>
      <c r="C44" s="6">
        <v>2</v>
      </c>
      <c r="D44" s="6">
        <v>312</v>
      </c>
      <c r="E44" s="6">
        <v>9360</v>
      </c>
      <c r="F44" s="6">
        <f t="shared" si="2"/>
        <v>41</v>
      </c>
      <c r="G44" s="6">
        <f t="shared" si="3"/>
        <v>72</v>
      </c>
    </row>
    <row r="45" spans="1:7" s="9" customFormat="1" ht="15.75" x14ac:dyDescent="0.25">
      <c r="A45" s="6" t="s">
        <v>37</v>
      </c>
      <c r="B45" s="5" t="s">
        <v>31</v>
      </c>
      <c r="C45" s="6">
        <v>1</v>
      </c>
      <c r="D45" s="6">
        <v>221</v>
      </c>
      <c r="E45" s="6">
        <v>6630</v>
      </c>
      <c r="F45" s="6">
        <f t="shared" si="2"/>
        <v>55</v>
      </c>
      <c r="G45" s="6">
        <f t="shared" si="3"/>
        <v>80</v>
      </c>
    </row>
    <row r="46" spans="1:7" ht="15.75" x14ac:dyDescent="0.25">
      <c r="A46" s="6" t="s">
        <v>30</v>
      </c>
      <c r="B46" s="5" t="s">
        <v>31</v>
      </c>
      <c r="C46" s="6">
        <v>4</v>
      </c>
      <c r="D46" s="6">
        <v>432</v>
      </c>
      <c r="E46" s="6">
        <v>32960</v>
      </c>
      <c r="F46" s="6">
        <f t="shared" si="2"/>
        <v>13</v>
      </c>
      <c r="G46" s="6">
        <f t="shared" si="3"/>
        <v>8</v>
      </c>
    </row>
    <row r="47" spans="1:7" ht="15.75" x14ac:dyDescent="0.25">
      <c r="A47" s="6" t="s">
        <v>30</v>
      </c>
      <c r="B47" s="5" t="s">
        <v>31</v>
      </c>
      <c r="C47" s="6">
        <v>1</v>
      </c>
      <c r="D47" s="6">
        <v>306</v>
      </c>
      <c r="E47" s="6">
        <v>29180</v>
      </c>
      <c r="F47" s="6">
        <f t="shared" si="2"/>
        <v>42</v>
      </c>
      <c r="G47" s="6">
        <f t="shared" si="3"/>
        <v>17</v>
      </c>
    </row>
    <row r="48" spans="1:7" ht="15.75" x14ac:dyDescent="0.25">
      <c r="A48" s="6" t="s">
        <v>30</v>
      </c>
      <c r="B48" s="5" t="s">
        <v>31</v>
      </c>
      <c r="C48" s="6">
        <v>3</v>
      </c>
      <c r="D48" s="6">
        <v>219</v>
      </c>
      <c r="E48" s="6">
        <v>12990</v>
      </c>
      <c r="F48" s="6">
        <f t="shared" si="2"/>
        <v>56</v>
      </c>
      <c r="G48" s="6">
        <f t="shared" si="3"/>
        <v>55</v>
      </c>
    </row>
    <row r="49" spans="1:7" ht="15.75" x14ac:dyDescent="0.25">
      <c r="A49" s="6" t="s">
        <v>35</v>
      </c>
      <c r="B49" s="5" t="s">
        <v>31</v>
      </c>
      <c r="C49" s="6">
        <v>2</v>
      </c>
      <c r="D49" s="6">
        <v>148</v>
      </c>
      <c r="E49" s="6">
        <v>9078</v>
      </c>
      <c r="F49" s="6">
        <f t="shared" si="2"/>
        <v>75</v>
      </c>
      <c r="G49" s="6">
        <f t="shared" si="3"/>
        <v>73</v>
      </c>
    </row>
    <row r="50" spans="1:7" ht="15.75" x14ac:dyDescent="0.25">
      <c r="A50" s="6" t="s">
        <v>28</v>
      </c>
      <c r="B50" s="5" t="s">
        <v>31</v>
      </c>
      <c r="C50" s="6">
        <v>4</v>
      </c>
      <c r="D50" s="6">
        <v>421</v>
      </c>
      <c r="E50" s="6">
        <v>32534</v>
      </c>
      <c r="F50" s="6">
        <f t="shared" si="2"/>
        <v>17</v>
      </c>
      <c r="G50" s="6">
        <f t="shared" si="3"/>
        <v>10</v>
      </c>
    </row>
    <row r="51" spans="1:7" ht="15.75" x14ac:dyDescent="0.25">
      <c r="A51" s="6" t="s">
        <v>28</v>
      </c>
      <c r="B51" s="5" t="s">
        <v>31</v>
      </c>
      <c r="C51" s="6">
        <v>3</v>
      </c>
      <c r="D51" s="6">
        <v>356</v>
      </c>
      <c r="E51" s="6">
        <v>29342</v>
      </c>
      <c r="F51" s="6">
        <f t="shared" si="2"/>
        <v>27</v>
      </c>
      <c r="G51" s="6">
        <f t="shared" si="3"/>
        <v>16</v>
      </c>
    </row>
    <row r="52" spans="1:7" ht="15.75" x14ac:dyDescent="0.25">
      <c r="A52" s="6" t="s">
        <v>28</v>
      </c>
      <c r="B52" s="5" t="s">
        <v>31</v>
      </c>
      <c r="C52" s="6">
        <v>2</v>
      </c>
      <c r="D52" s="6">
        <v>217</v>
      </c>
      <c r="E52" s="6">
        <v>20453</v>
      </c>
      <c r="F52" s="6">
        <f t="shared" si="2"/>
        <v>59</v>
      </c>
      <c r="G52" s="6">
        <f t="shared" si="3"/>
        <v>39</v>
      </c>
    </row>
    <row r="53" spans="1:7" ht="15.75" x14ac:dyDescent="0.25">
      <c r="A53" s="6" t="s">
        <v>28</v>
      </c>
      <c r="B53" s="5" t="s">
        <v>31</v>
      </c>
      <c r="C53" s="6">
        <v>1</v>
      </c>
      <c r="D53" s="6">
        <v>156</v>
      </c>
      <c r="E53" s="6">
        <v>10786</v>
      </c>
      <c r="F53" s="6">
        <f t="shared" si="2"/>
        <v>74</v>
      </c>
      <c r="G53" s="6">
        <f t="shared" si="3"/>
        <v>63</v>
      </c>
    </row>
    <row r="54" spans="1:7" ht="15.75" x14ac:dyDescent="0.25">
      <c r="A54" s="5" t="s">
        <v>24</v>
      </c>
      <c r="B54" s="5" t="s">
        <v>25</v>
      </c>
      <c r="C54" s="6">
        <v>2</v>
      </c>
      <c r="D54" s="6">
        <v>654</v>
      </c>
      <c r="E54" s="6">
        <v>45321</v>
      </c>
      <c r="F54" s="6">
        <f t="shared" si="2"/>
        <v>2</v>
      </c>
      <c r="G54" s="6">
        <f t="shared" si="3"/>
        <v>1</v>
      </c>
    </row>
    <row r="55" spans="1:7" ht="15.75" x14ac:dyDescent="0.25">
      <c r="A55" s="5" t="s">
        <v>24</v>
      </c>
      <c r="B55" s="5" t="s">
        <v>25</v>
      </c>
      <c r="C55" s="6">
        <v>1</v>
      </c>
      <c r="D55" s="6">
        <v>436</v>
      </c>
      <c r="E55" s="6">
        <v>35648</v>
      </c>
      <c r="F55" s="6">
        <f t="shared" si="2"/>
        <v>11</v>
      </c>
      <c r="G55" s="6">
        <f t="shared" si="3"/>
        <v>7</v>
      </c>
    </row>
    <row r="56" spans="1:7" ht="15.75" x14ac:dyDescent="0.25">
      <c r="A56" s="5" t="s">
        <v>24</v>
      </c>
      <c r="B56" s="5" t="s">
        <v>25</v>
      </c>
      <c r="C56" s="6">
        <v>4</v>
      </c>
      <c r="D56" s="6">
        <v>365</v>
      </c>
      <c r="E56" s="6">
        <v>29879</v>
      </c>
      <c r="F56" s="6">
        <f t="shared" si="2"/>
        <v>25</v>
      </c>
      <c r="G56" s="6">
        <f t="shared" si="3"/>
        <v>15</v>
      </c>
    </row>
    <row r="57" spans="1:7" ht="15.75" x14ac:dyDescent="0.25">
      <c r="A57" s="5" t="s">
        <v>24</v>
      </c>
      <c r="B57" s="5" t="s">
        <v>25</v>
      </c>
      <c r="C57" s="6">
        <v>3</v>
      </c>
      <c r="D57" s="6">
        <v>231</v>
      </c>
      <c r="E57" s="6">
        <v>23217</v>
      </c>
      <c r="F57" s="6">
        <f t="shared" si="2"/>
        <v>53</v>
      </c>
      <c r="G57" s="6">
        <f t="shared" si="3"/>
        <v>31</v>
      </c>
    </row>
    <row r="58" spans="1:7" ht="15.75" x14ac:dyDescent="0.25">
      <c r="A58" s="5" t="s">
        <v>26</v>
      </c>
      <c r="B58" s="6" t="s">
        <v>25</v>
      </c>
      <c r="C58" s="6">
        <v>3</v>
      </c>
      <c r="D58" s="6">
        <v>542</v>
      </c>
      <c r="E58" s="6">
        <v>41234</v>
      </c>
      <c r="F58" s="6">
        <f t="shared" si="2"/>
        <v>7</v>
      </c>
      <c r="G58" s="6">
        <f t="shared" si="3"/>
        <v>3</v>
      </c>
    </row>
    <row r="59" spans="1:7" ht="15.75" x14ac:dyDescent="0.25">
      <c r="A59" s="5" t="s">
        <v>26</v>
      </c>
      <c r="B59" s="6" t="s">
        <v>25</v>
      </c>
      <c r="C59" s="6">
        <v>4</v>
      </c>
      <c r="D59" s="6">
        <v>341</v>
      </c>
      <c r="E59" s="6">
        <v>26785</v>
      </c>
      <c r="F59" s="6">
        <f t="shared" si="2"/>
        <v>33</v>
      </c>
      <c r="G59" s="6">
        <f t="shared" si="3"/>
        <v>21</v>
      </c>
    </row>
    <row r="60" spans="1:7" ht="15.75" x14ac:dyDescent="0.25">
      <c r="A60" s="5" t="s">
        <v>26</v>
      </c>
      <c r="B60" s="6" t="s">
        <v>25</v>
      </c>
      <c r="C60" s="6">
        <v>2</v>
      </c>
      <c r="D60" s="6">
        <v>342</v>
      </c>
      <c r="E60" s="6">
        <v>23718</v>
      </c>
      <c r="F60" s="6">
        <f t="shared" si="2"/>
        <v>31</v>
      </c>
      <c r="G60" s="6">
        <f t="shared" si="3"/>
        <v>29</v>
      </c>
    </row>
    <row r="61" spans="1:7" ht="15.75" x14ac:dyDescent="0.25">
      <c r="A61" s="5" t="s">
        <v>26</v>
      </c>
      <c r="B61" s="6" t="s">
        <v>25</v>
      </c>
      <c r="C61" s="6">
        <v>1</v>
      </c>
      <c r="D61" s="6">
        <v>123</v>
      </c>
      <c r="E61" s="6">
        <v>7685</v>
      </c>
      <c r="F61" s="6">
        <f t="shared" si="2"/>
        <v>78</v>
      </c>
      <c r="G61" s="6">
        <f t="shared" si="3"/>
        <v>79</v>
      </c>
    </row>
    <row r="62" spans="1:7" s="10" customFormat="1" ht="15.75" x14ac:dyDescent="0.25">
      <c r="A62" s="5" t="s">
        <v>35</v>
      </c>
      <c r="B62" s="6" t="s">
        <v>25</v>
      </c>
      <c r="C62" s="6">
        <v>4</v>
      </c>
      <c r="D62" s="6">
        <v>432</v>
      </c>
      <c r="E62" s="6">
        <v>20563</v>
      </c>
      <c r="F62" s="6">
        <f t="shared" si="2"/>
        <v>13</v>
      </c>
      <c r="G62" s="6">
        <f t="shared" si="3"/>
        <v>38</v>
      </c>
    </row>
    <row r="63" spans="1:7" s="10" customFormat="1" ht="15.75" x14ac:dyDescent="0.25">
      <c r="A63" s="5" t="s">
        <v>35</v>
      </c>
      <c r="B63" s="6" t="s">
        <v>25</v>
      </c>
      <c r="C63" s="6">
        <v>3</v>
      </c>
      <c r="D63" s="6">
        <v>216</v>
      </c>
      <c r="E63" s="6">
        <v>10238</v>
      </c>
      <c r="F63" s="6">
        <f t="shared" si="2"/>
        <v>61</v>
      </c>
      <c r="G63" s="6">
        <f t="shared" si="3"/>
        <v>67</v>
      </c>
    </row>
    <row r="64" spans="1:7" s="10" customFormat="1" ht="15.75" x14ac:dyDescent="0.25">
      <c r="A64" s="5" t="s">
        <v>35</v>
      </c>
      <c r="B64" s="6" t="s">
        <v>25</v>
      </c>
      <c r="C64" s="6">
        <v>2</v>
      </c>
      <c r="D64" s="6">
        <v>199</v>
      </c>
      <c r="E64" s="6">
        <v>9675</v>
      </c>
      <c r="F64" s="6">
        <f t="shared" si="2"/>
        <v>66</v>
      </c>
      <c r="G64" s="6">
        <f t="shared" si="3"/>
        <v>68</v>
      </c>
    </row>
    <row r="65" spans="1:7" s="10" customFormat="1" ht="15.75" x14ac:dyDescent="0.25">
      <c r="A65" s="5" t="s">
        <v>35</v>
      </c>
      <c r="B65" s="6" t="s">
        <v>25</v>
      </c>
      <c r="C65" s="6">
        <v>1</v>
      </c>
      <c r="D65" s="6">
        <v>166</v>
      </c>
      <c r="E65" s="6">
        <v>8765</v>
      </c>
      <c r="F65" s="6">
        <f t="shared" si="2"/>
        <v>72</v>
      </c>
      <c r="G65" s="6">
        <f t="shared" si="3"/>
        <v>75</v>
      </c>
    </row>
    <row r="66" spans="1:7" ht="15.75" x14ac:dyDescent="0.25">
      <c r="A66" s="5" t="s">
        <v>28</v>
      </c>
      <c r="B66" s="6" t="s">
        <v>25</v>
      </c>
      <c r="C66" s="6">
        <v>1</v>
      </c>
      <c r="D66" s="6">
        <v>321</v>
      </c>
      <c r="E66" s="6">
        <v>18976</v>
      </c>
      <c r="F66" s="6">
        <f t="shared" si="2"/>
        <v>39</v>
      </c>
      <c r="G66" s="6">
        <f t="shared" si="3"/>
        <v>43</v>
      </c>
    </row>
    <row r="67" spans="1:7" ht="15.75" x14ac:dyDescent="0.25">
      <c r="A67" s="5" t="s">
        <v>28</v>
      </c>
      <c r="B67" s="6" t="s">
        <v>25</v>
      </c>
      <c r="C67" s="6">
        <v>4</v>
      </c>
      <c r="D67" s="6">
        <v>261</v>
      </c>
      <c r="E67" s="6">
        <v>11675</v>
      </c>
      <c r="F67" s="6">
        <f t="shared" si="2"/>
        <v>46</v>
      </c>
      <c r="G67" s="6">
        <f t="shared" si="3"/>
        <v>57</v>
      </c>
    </row>
    <row r="68" spans="1:7" ht="15.75" x14ac:dyDescent="0.25">
      <c r="A68" s="5" t="s">
        <v>28</v>
      </c>
      <c r="B68" s="6" t="s">
        <v>25</v>
      </c>
      <c r="C68" s="6">
        <v>3</v>
      </c>
      <c r="D68" s="6">
        <v>232</v>
      </c>
      <c r="E68" s="6">
        <v>11298</v>
      </c>
      <c r="F68" s="6">
        <f t="shared" si="2"/>
        <v>52</v>
      </c>
      <c r="G68" s="6">
        <f t="shared" si="3"/>
        <v>58</v>
      </c>
    </row>
    <row r="69" spans="1:7" ht="15.75" x14ac:dyDescent="0.25">
      <c r="A69" s="5" t="s">
        <v>28</v>
      </c>
      <c r="B69" s="6" t="s">
        <v>25</v>
      </c>
      <c r="C69" s="6">
        <v>2</v>
      </c>
      <c r="D69" s="6">
        <v>112</v>
      </c>
      <c r="E69" s="6">
        <v>8798</v>
      </c>
      <c r="F69" s="6">
        <f t="shared" si="2"/>
        <v>79</v>
      </c>
      <c r="G69" s="6">
        <f t="shared" si="3"/>
        <v>74</v>
      </c>
    </row>
    <row r="70" spans="1:7" ht="15.75" x14ac:dyDescent="0.25">
      <c r="A70" s="6" t="s">
        <v>32</v>
      </c>
      <c r="B70" s="5" t="s">
        <v>33</v>
      </c>
      <c r="C70" s="6">
        <v>1</v>
      </c>
      <c r="D70" s="6">
        <v>569</v>
      </c>
      <c r="E70" s="6">
        <v>28450</v>
      </c>
      <c r="F70" s="6">
        <f t="shared" ref="F70:F85" si="4">_xlfn.RANK.EQ(D70,$D$6:$D$85)</f>
        <v>4</v>
      </c>
      <c r="G70" s="6">
        <f t="shared" ref="G70:G85" si="5">_xlfn.RANK.EQ(E70,$E$6:$E$85)</f>
        <v>19</v>
      </c>
    </row>
    <row r="71" spans="1:7" ht="15.75" x14ac:dyDescent="0.25">
      <c r="A71" s="6" t="s">
        <v>32</v>
      </c>
      <c r="B71" s="5" t="s">
        <v>33</v>
      </c>
      <c r="C71" s="6">
        <v>2</v>
      </c>
      <c r="D71" s="6">
        <v>435</v>
      </c>
      <c r="E71" s="6">
        <v>21750</v>
      </c>
      <c r="F71" s="6">
        <f t="shared" si="4"/>
        <v>12</v>
      </c>
      <c r="G71" s="6">
        <f t="shared" si="5"/>
        <v>36</v>
      </c>
    </row>
    <row r="72" spans="1:7" ht="15.75" x14ac:dyDescent="0.25">
      <c r="A72" s="6" t="s">
        <v>32</v>
      </c>
      <c r="B72" s="5" t="s">
        <v>33</v>
      </c>
      <c r="C72" s="6">
        <v>3</v>
      </c>
      <c r="D72" s="6">
        <v>324</v>
      </c>
      <c r="E72" s="6">
        <v>16200</v>
      </c>
      <c r="F72" s="6">
        <f t="shared" si="4"/>
        <v>35</v>
      </c>
      <c r="G72" s="6">
        <f t="shared" si="5"/>
        <v>47</v>
      </c>
    </row>
    <row r="73" spans="1:7" ht="15.75" x14ac:dyDescent="0.25">
      <c r="A73" s="6" t="s">
        <v>32</v>
      </c>
      <c r="B73" s="5" t="s">
        <v>33</v>
      </c>
      <c r="C73" s="6">
        <v>4</v>
      </c>
      <c r="D73" s="6">
        <v>287</v>
      </c>
      <c r="E73" s="6">
        <v>14350</v>
      </c>
      <c r="F73" s="6">
        <f t="shared" si="4"/>
        <v>45</v>
      </c>
      <c r="G73" s="6">
        <f t="shared" si="5"/>
        <v>51</v>
      </c>
    </row>
    <row r="74" spans="1:7" ht="15.75" x14ac:dyDescent="0.25">
      <c r="A74" s="6" t="s">
        <v>37</v>
      </c>
      <c r="B74" s="5" t="s">
        <v>33</v>
      </c>
      <c r="C74" s="6">
        <v>4</v>
      </c>
      <c r="D74" s="6">
        <v>219</v>
      </c>
      <c r="E74" s="6">
        <v>10950</v>
      </c>
      <c r="F74" s="6">
        <f t="shared" si="4"/>
        <v>56</v>
      </c>
      <c r="G74" s="6">
        <f t="shared" si="5"/>
        <v>60</v>
      </c>
    </row>
    <row r="75" spans="1:7" ht="15.75" x14ac:dyDescent="0.25">
      <c r="A75" s="6" t="s">
        <v>37</v>
      </c>
      <c r="B75" s="5" t="s">
        <v>33</v>
      </c>
      <c r="C75" s="6">
        <v>3</v>
      </c>
      <c r="D75" s="6">
        <v>218</v>
      </c>
      <c r="E75" s="6">
        <v>10900</v>
      </c>
      <c r="F75" s="6">
        <f t="shared" si="4"/>
        <v>58</v>
      </c>
      <c r="G75" s="6">
        <f t="shared" si="5"/>
        <v>62</v>
      </c>
    </row>
    <row r="76" spans="1:7" ht="15.75" x14ac:dyDescent="0.25">
      <c r="A76" s="6" t="s">
        <v>37</v>
      </c>
      <c r="B76" s="5" t="s">
        <v>33</v>
      </c>
      <c r="C76" s="6">
        <v>2</v>
      </c>
      <c r="D76" s="6">
        <v>211</v>
      </c>
      <c r="E76" s="6">
        <v>10550</v>
      </c>
      <c r="F76" s="6">
        <f t="shared" si="4"/>
        <v>64</v>
      </c>
      <c r="G76" s="6">
        <f t="shared" si="5"/>
        <v>65</v>
      </c>
    </row>
    <row r="77" spans="1:7" ht="15.75" x14ac:dyDescent="0.25">
      <c r="A77" s="6" t="s">
        <v>37</v>
      </c>
      <c r="B77" s="5" t="s">
        <v>33</v>
      </c>
      <c r="C77" s="6">
        <v>1</v>
      </c>
      <c r="D77" s="6">
        <v>167</v>
      </c>
      <c r="E77" s="6">
        <v>8350</v>
      </c>
      <c r="F77" s="6">
        <f t="shared" si="4"/>
        <v>71</v>
      </c>
      <c r="G77" s="6">
        <f t="shared" si="5"/>
        <v>77</v>
      </c>
    </row>
    <row r="78" spans="1:7" ht="15.75" x14ac:dyDescent="0.25">
      <c r="A78" s="6" t="s">
        <v>30</v>
      </c>
      <c r="B78" s="5" t="s">
        <v>33</v>
      </c>
      <c r="C78" s="6">
        <v>1</v>
      </c>
      <c r="D78" s="6">
        <v>301</v>
      </c>
      <c r="E78" s="6">
        <v>15050</v>
      </c>
      <c r="F78" s="6">
        <f t="shared" si="4"/>
        <v>43</v>
      </c>
      <c r="G78" s="6">
        <f t="shared" si="5"/>
        <v>48</v>
      </c>
    </row>
    <row r="79" spans="1:7" ht="15.75" x14ac:dyDescent="0.25">
      <c r="A79" s="6" t="s">
        <v>30</v>
      </c>
      <c r="B79" s="5" t="s">
        <v>33</v>
      </c>
      <c r="C79" s="6">
        <v>4</v>
      </c>
      <c r="D79" s="6">
        <v>213</v>
      </c>
      <c r="E79" s="6">
        <v>10650</v>
      </c>
      <c r="F79" s="6">
        <f t="shared" si="4"/>
        <v>62</v>
      </c>
      <c r="G79" s="6">
        <f t="shared" si="5"/>
        <v>64</v>
      </c>
    </row>
    <row r="80" spans="1:7" ht="15.75" x14ac:dyDescent="0.25">
      <c r="A80" s="6" t="s">
        <v>30</v>
      </c>
      <c r="B80" s="5" t="s">
        <v>33</v>
      </c>
      <c r="C80" s="6">
        <v>2</v>
      </c>
      <c r="D80" s="6">
        <v>321</v>
      </c>
      <c r="E80" s="6">
        <v>9630</v>
      </c>
      <c r="F80" s="6">
        <f t="shared" si="4"/>
        <v>39</v>
      </c>
      <c r="G80" s="6">
        <f t="shared" si="5"/>
        <v>70</v>
      </c>
    </row>
    <row r="81" spans="1:7" ht="15.75" x14ac:dyDescent="0.25">
      <c r="A81" s="6" t="s">
        <v>30</v>
      </c>
      <c r="B81" s="5" t="s">
        <v>33</v>
      </c>
      <c r="C81" s="6">
        <v>3</v>
      </c>
      <c r="D81" s="6">
        <v>189</v>
      </c>
      <c r="E81" s="6">
        <v>9450</v>
      </c>
      <c r="F81" s="6">
        <f t="shared" si="4"/>
        <v>69</v>
      </c>
      <c r="G81" s="6">
        <f t="shared" si="5"/>
        <v>71</v>
      </c>
    </row>
    <row r="82" spans="1:7" ht="15.75" x14ac:dyDescent="0.25">
      <c r="A82" s="6" t="s">
        <v>28</v>
      </c>
      <c r="B82" s="5" t="s">
        <v>33</v>
      </c>
      <c r="C82" s="6">
        <v>2</v>
      </c>
      <c r="D82" s="6">
        <v>432</v>
      </c>
      <c r="E82" s="6">
        <v>31256</v>
      </c>
      <c r="F82" s="6">
        <f t="shared" si="4"/>
        <v>13</v>
      </c>
      <c r="G82" s="6">
        <f t="shared" si="5"/>
        <v>14</v>
      </c>
    </row>
    <row r="83" spans="1:7" ht="15.75" x14ac:dyDescent="0.25">
      <c r="A83" s="6" t="s">
        <v>28</v>
      </c>
      <c r="B83" s="5" t="s">
        <v>33</v>
      </c>
      <c r="C83" s="6">
        <v>1</v>
      </c>
      <c r="D83" s="6">
        <v>234</v>
      </c>
      <c r="E83" s="6">
        <v>14321</v>
      </c>
      <c r="F83" s="6">
        <f t="shared" si="4"/>
        <v>50</v>
      </c>
      <c r="G83" s="6">
        <f t="shared" si="5"/>
        <v>52</v>
      </c>
    </row>
    <row r="84" spans="1:7" ht="15.75" x14ac:dyDescent="0.25">
      <c r="A84" s="6" t="s">
        <v>28</v>
      </c>
      <c r="B84" s="5" t="s">
        <v>33</v>
      </c>
      <c r="C84" s="6">
        <v>3</v>
      </c>
      <c r="D84" s="6">
        <v>129</v>
      </c>
      <c r="E84" s="6">
        <v>9637</v>
      </c>
      <c r="F84" s="6">
        <f t="shared" si="4"/>
        <v>76</v>
      </c>
      <c r="G84" s="6">
        <f t="shared" si="5"/>
        <v>69</v>
      </c>
    </row>
    <row r="85" spans="1:7" ht="15.75" x14ac:dyDescent="0.25">
      <c r="A85" s="6" t="s">
        <v>28</v>
      </c>
      <c r="B85" s="5" t="s">
        <v>33</v>
      </c>
      <c r="C85" s="6">
        <v>4</v>
      </c>
      <c r="D85" s="6">
        <v>112</v>
      </c>
      <c r="E85" s="6">
        <v>8178</v>
      </c>
      <c r="F85" s="6">
        <f t="shared" si="4"/>
        <v>79</v>
      </c>
      <c r="G85" s="6">
        <f t="shared" si="5"/>
        <v>78</v>
      </c>
    </row>
  </sheetData>
  <sortState ref="A2:G81">
    <sortCondition descending="1" ref="B2:B81"/>
    <sortCondition ref="A2:A8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订单信息</vt:lpstr>
      <vt:lpstr>图书销售情况</vt:lpstr>
      <vt:lpstr>图书销售情况!Criteria</vt:lpstr>
      <vt:lpstr>图书销售情况!提取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wanhan</dc:creator>
  <cp:lastModifiedBy>PC</cp:lastModifiedBy>
  <dcterms:created xsi:type="dcterms:W3CDTF">2023-08-15T16:01:27Z</dcterms:created>
  <dcterms:modified xsi:type="dcterms:W3CDTF">2025-04-03T07:40:07Z</dcterms:modified>
</cp:coreProperties>
</file>